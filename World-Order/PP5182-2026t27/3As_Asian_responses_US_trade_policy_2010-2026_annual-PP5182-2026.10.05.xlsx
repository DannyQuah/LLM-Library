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q/0/Wrk/1/Work-Text/Work-in-Progress/0-Notes-2020.01/Economic-Diplomacy-2026.01/"/>
    </mc:Choice>
  </mc:AlternateContent>
  <xr:revisionPtr revIDLastSave="0" documentId="13_ncr:1_{866B2859-1D30-1949-9DD6-445B36823A9E}" xr6:coauthVersionLast="47" xr6:coauthVersionMax="47" xr10:uidLastSave="{00000000-0000-0000-0000-000000000000}"/>
  <bookViews>
    <workbookView xWindow="15800" yWindow="2100" windowWidth="38060" windowHeight="21180" xr2:uid="{00000000-000D-0000-FFFF-FFFF00000000}"/>
  </bookViews>
  <sheets>
    <sheet name="Events" sheetId="1" r:id="rId1"/>
    <sheet name="Summary" sheetId="2" r:id="rId2"/>
    <sheet name="Coding Notes" sheetId="3" r:id="rId3"/>
    <sheet name="Monthly Timeline" sheetId="4" r:id="rId4"/>
    <sheet name="Annual Observations" sheetId="5" r:id="rId5"/>
  </sheets>
  <definedNames>
    <definedName name="_xlnm._FilterDatabase" localSheetId="4" hidden="1">'Annual Observations'!$A$1:$M$18</definedName>
    <definedName name="_xlnm._FilterDatabase" localSheetId="0" hidden="1">Events!$A$1:$Q$69</definedName>
    <definedName name="_xlnm._FilterDatabase" localSheetId="3" hidden="1">'Monthly Timeline'!$A$1:$G$196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5" l="1"/>
  <c r="K18" i="5"/>
  <c r="J18" i="5"/>
  <c r="I18" i="5"/>
  <c r="H18" i="5"/>
  <c r="G18" i="5"/>
  <c r="F18" i="5"/>
  <c r="E18" i="5"/>
  <c r="D18" i="5"/>
  <c r="C18" i="5"/>
  <c r="B18" i="5"/>
  <c r="L17" i="5"/>
  <c r="K17" i="5"/>
  <c r="J17" i="5"/>
  <c r="I17" i="5"/>
  <c r="H17" i="5"/>
  <c r="G17" i="5"/>
  <c r="F17" i="5"/>
  <c r="E17" i="5"/>
  <c r="D17" i="5"/>
  <c r="C17" i="5"/>
  <c r="B17" i="5"/>
  <c r="L16" i="5"/>
  <c r="K16" i="5"/>
  <c r="J16" i="5"/>
  <c r="I16" i="5"/>
  <c r="H16" i="5"/>
  <c r="G16" i="5"/>
  <c r="F16" i="5"/>
  <c r="E16" i="5"/>
  <c r="D16" i="5"/>
  <c r="C16" i="5"/>
  <c r="B16" i="5"/>
  <c r="L15" i="5"/>
  <c r="K15" i="5"/>
  <c r="J15" i="5"/>
  <c r="I15" i="5"/>
  <c r="H15" i="5"/>
  <c r="G15" i="5"/>
  <c r="F15" i="5"/>
  <c r="E15" i="5"/>
  <c r="D15" i="5"/>
  <c r="C15" i="5"/>
  <c r="B15" i="5"/>
  <c r="L14" i="5"/>
  <c r="K14" i="5"/>
  <c r="J14" i="5"/>
  <c r="I14" i="5"/>
  <c r="H14" i="5"/>
  <c r="G14" i="5"/>
  <c r="F14" i="5"/>
  <c r="E14" i="5"/>
  <c r="D14" i="5"/>
  <c r="C14" i="5"/>
  <c r="B14" i="5"/>
  <c r="L13" i="5"/>
  <c r="K13" i="5"/>
  <c r="J13" i="5"/>
  <c r="I13" i="5"/>
  <c r="H13" i="5"/>
  <c r="G13" i="5"/>
  <c r="F13" i="5"/>
  <c r="E13" i="5"/>
  <c r="D13" i="5"/>
  <c r="C13" i="5"/>
  <c r="B13" i="5"/>
  <c r="L12" i="5"/>
  <c r="K12" i="5"/>
  <c r="J12" i="5"/>
  <c r="I12" i="5"/>
  <c r="H12" i="5"/>
  <c r="G12" i="5"/>
  <c r="F12" i="5"/>
  <c r="E12" i="5"/>
  <c r="D12" i="5"/>
  <c r="C12" i="5"/>
  <c r="B12" i="5"/>
  <c r="L11" i="5"/>
  <c r="K11" i="5"/>
  <c r="J11" i="5"/>
  <c r="I11" i="5"/>
  <c r="H11" i="5"/>
  <c r="G11" i="5"/>
  <c r="F11" i="5"/>
  <c r="E11" i="5"/>
  <c r="D11" i="5"/>
  <c r="C11" i="5"/>
  <c r="B11" i="5"/>
  <c r="L10" i="5"/>
  <c r="K10" i="5"/>
  <c r="J10" i="5"/>
  <c r="I10" i="5"/>
  <c r="H10" i="5"/>
  <c r="G10" i="5"/>
  <c r="F10" i="5"/>
  <c r="E10" i="5"/>
  <c r="D10" i="5"/>
  <c r="C10" i="5"/>
  <c r="B10" i="5"/>
  <c r="L9" i="5"/>
  <c r="K9" i="5"/>
  <c r="J9" i="5"/>
  <c r="I9" i="5"/>
  <c r="H9" i="5"/>
  <c r="G9" i="5"/>
  <c r="F9" i="5"/>
  <c r="E9" i="5"/>
  <c r="D9" i="5"/>
  <c r="C9" i="5"/>
  <c r="B9" i="5"/>
  <c r="L8" i="5"/>
  <c r="K8" i="5"/>
  <c r="J8" i="5"/>
  <c r="I8" i="5"/>
  <c r="H8" i="5"/>
  <c r="G8" i="5"/>
  <c r="F8" i="5"/>
  <c r="E8" i="5"/>
  <c r="D8" i="5"/>
  <c r="C8" i="5"/>
  <c r="B8" i="5"/>
  <c r="L7" i="5"/>
  <c r="K7" i="5"/>
  <c r="J7" i="5"/>
  <c r="I7" i="5"/>
  <c r="H7" i="5"/>
  <c r="G7" i="5"/>
  <c r="F7" i="5"/>
  <c r="E7" i="5"/>
  <c r="D7" i="5"/>
  <c r="C7" i="5"/>
  <c r="B7" i="5"/>
  <c r="L6" i="5"/>
  <c r="K6" i="5"/>
  <c r="J6" i="5"/>
  <c r="I6" i="5"/>
  <c r="H6" i="5"/>
  <c r="G6" i="5"/>
  <c r="F6" i="5"/>
  <c r="E6" i="5"/>
  <c r="D6" i="5"/>
  <c r="C6" i="5"/>
  <c r="B6" i="5"/>
  <c r="L5" i="5"/>
  <c r="K5" i="5"/>
  <c r="J5" i="5"/>
  <c r="I5" i="5"/>
  <c r="H5" i="5"/>
  <c r="G5" i="5"/>
  <c r="F5" i="5"/>
  <c r="E5" i="5"/>
  <c r="D5" i="5"/>
  <c r="C5" i="5"/>
  <c r="B5" i="5"/>
  <c r="L4" i="5"/>
  <c r="K4" i="5"/>
  <c r="J4" i="5"/>
  <c r="I4" i="5"/>
  <c r="H4" i="5"/>
  <c r="G4" i="5"/>
  <c r="F4" i="5"/>
  <c r="E4" i="5"/>
  <c r="D4" i="5"/>
  <c r="C4" i="5"/>
  <c r="B4" i="5"/>
  <c r="L3" i="5"/>
  <c r="K3" i="5"/>
  <c r="J3" i="5"/>
  <c r="I3" i="5"/>
  <c r="H3" i="5"/>
  <c r="G3" i="5"/>
  <c r="F3" i="5"/>
  <c r="E3" i="5"/>
  <c r="D3" i="5"/>
  <c r="C3" i="5"/>
  <c r="B3" i="5"/>
  <c r="L2" i="5"/>
  <c r="K2" i="5"/>
  <c r="J2" i="5"/>
  <c r="I2" i="5"/>
  <c r="H2" i="5"/>
  <c r="G2" i="5"/>
  <c r="F2" i="5"/>
  <c r="E2" i="5"/>
  <c r="D2" i="5"/>
  <c r="C2" i="5"/>
  <c r="B2" i="5"/>
  <c r="F196" i="4"/>
  <c r="E196" i="4"/>
  <c r="D196" i="4"/>
  <c r="C196" i="4"/>
  <c r="B196" i="4"/>
  <c r="F195" i="4"/>
  <c r="E195" i="4"/>
  <c r="D195" i="4"/>
  <c r="C195" i="4"/>
  <c r="B195" i="4"/>
  <c r="F194" i="4"/>
  <c r="E194" i="4"/>
  <c r="D194" i="4"/>
  <c r="C194" i="4"/>
  <c r="B194" i="4"/>
  <c r="F193" i="4"/>
  <c r="E193" i="4"/>
  <c r="D193" i="4"/>
  <c r="C193" i="4"/>
  <c r="B193" i="4"/>
  <c r="F192" i="4"/>
  <c r="E192" i="4"/>
  <c r="D192" i="4"/>
  <c r="C192" i="4"/>
  <c r="B192" i="4"/>
  <c r="F191" i="4"/>
  <c r="E191" i="4"/>
  <c r="D191" i="4"/>
  <c r="C191" i="4"/>
  <c r="B191" i="4"/>
  <c r="F190" i="4"/>
  <c r="E190" i="4"/>
  <c r="D190" i="4"/>
  <c r="C190" i="4"/>
  <c r="B190" i="4"/>
  <c r="F189" i="4"/>
  <c r="E189" i="4"/>
  <c r="D189" i="4"/>
  <c r="C189" i="4"/>
  <c r="B189" i="4"/>
  <c r="F188" i="4"/>
  <c r="E188" i="4"/>
  <c r="D188" i="4"/>
  <c r="C188" i="4"/>
  <c r="B188" i="4"/>
  <c r="F187" i="4"/>
  <c r="E187" i="4"/>
  <c r="D187" i="4"/>
  <c r="C187" i="4"/>
  <c r="B187" i="4"/>
  <c r="F186" i="4"/>
  <c r="E186" i="4"/>
  <c r="D186" i="4"/>
  <c r="C186" i="4"/>
  <c r="B186" i="4"/>
  <c r="F185" i="4"/>
  <c r="E185" i="4"/>
  <c r="D185" i="4"/>
  <c r="C185" i="4"/>
  <c r="B185" i="4"/>
  <c r="F184" i="4"/>
  <c r="E184" i="4"/>
  <c r="D184" i="4"/>
  <c r="C184" i="4"/>
  <c r="B184" i="4"/>
  <c r="F183" i="4"/>
  <c r="E183" i="4"/>
  <c r="D183" i="4"/>
  <c r="C183" i="4"/>
  <c r="B183" i="4"/>
  <c r="F182" i="4"/>
  <c r="E182" i="4"/>
  <c r="D182" i="4"/>
  <c r="C182" i="4"/>
  <c r="B182" i="4"/>
  <c r="F181" i="4"/>
  <c r="E181" i="4"/>
  <c r="D181" i="4"/>
  <c r="C181" i="4"/>
  <c r="B181" i="4"/>
  <c r="F180" i="4"/>
  <c r="E180" i="4"/>
  <c r="D180" i="4"/>
  <c r="C180" i="4"/>
  <c r="B180" i="4"/>
  <c r="F179" i="4"/>
  <c r="E179" i="4"/>
  <c r="D179" i="4"/>
  <c r="C179" i="4"/>
  <c r="B179" i="4"/>
  <c r="F178" i="4"/>
  <c r="E178" i="4"/>
  <c r="D178" i="4"/>
  <c r="C178" i="4"/>
  <c r="B178" i="4"/>
  <c r="F177" i="4"/>
  <c r="E177" i="4"/>
  <c r="D177" i="4"/>
  <c r="C177" i="4"/>
  <c r="B177" i="4"/>
  <c r="F176" i="4"/>
  <c r="E176" i="4"/>
  <c r="D176" i="4"/>
  <c r="C176" i="4"/>
  <c r="B176" i="4"/>
  <c r="F175" i="4"/>
  <c r="E175" i="4"/>
  <c r="D175" i="4"/>
  <c r="C175" i="4"/>
  <c r="B175" i="4"/>
  <c r="F174" i="4"/>
  <c r="E174" i="4"/>
  <c r="D174" i="4"/>
  <c r="C174" i="4"/>
  <c r="B174" i="4"/>
  <c r="F173" i="4"/>
  <c r="E173" i="4"/>
  <c r="D173" i="4"/>
  <c r="C173" i="4"/>
  <c r="B173" i="4"/>
  <c r="F172" i="4"/>
  <c r="E172" i="4"/>
  <c r="D172" i="4"/>
  <c r="C172" i="4"/>
  <c r="B172" i="4"/>
  <c r="F171" i="4"/>
  <c r="E171" i="4"/>
  <c r="D171" i="4"/>
  <c r="C171" i="4"/>
  <c r="B171" i="4"/>
  <c r="F170" i="4"/>
  <c r="E170" i="4"/>
  <c r="D170" i="4"/>
  <c r="C170" i="4"/>
  <c r="B170" i="4"/>
  <c r="F169" i="4"/>
  <c r="E169" i="4"/>
  <c r="D169" i="4"/>
  <c r="C169" i="4"/>
  <c r="B169" i="4"/>
  <c r="F168" i="4"/>
  <c r="E168" i="4"/>
  <c r="D168" i="4"/>
  <c r="C168" i="4"/>
  <c r="B168" i="4"/>
  <c r="F167" i="4"/>
  <c r="E167" i="4"/>
  <c r="D167" i="4"/>
  <c r="C167" i="4"/>
  <c r="B167" i="4"/>
  <c r="F166" i="4"/>
  <c r="E166" i="4"/>
  <c r="D166" i="4"/>
  <c r="C166" i="4"/>
  <c r="B166" i="4"/>
  <c r="F165" i="4"/>
  <c r="E165" i="4"/>
  <c r="D165" i="4"/>
  <c r="C165" i="4"/>
  <c r="B165" i="4"/>
  <c r="F164" i="4"/>
  <c r="E164" i="4"/>
  <c r="D164" i="4"/>
  <c r="C164" i="4"/>
  <c r="B164" i="4"/>
  <c r="F163" i="4"/>
  <c r="E163" i="4"/>
  <c r="D163" i="4"/>
  <c r="C163" i="4"/>
  <c r="B163" i="4"/>
  <c r="F162" i="4"/>
  <c r="E162" i="4"/>
  <c r="D162" i="4"/>
  <c r="C162" i="4"/>
  <c r="B162" i="4"/>
  <c r="F161" i="4"/>
  <c r="E161" i="4"/>
  <c r="D161" i="4"/>
  <c r="C161" i="4"/>
  <c r="B161" i="4"/>
  <c r="F160" i="4"/>
  <c r="E160" i="4"/>
  <c r="D160" i="4"/>
  <c r="C160" i="4"/>
  <c r="B160" i="4"/>
  <c r="F159" i="4"/>
  <c r="E159" i="4"/>
  <c r="D159" i="4"/>
  <c r="C159" i="4"/>
  <c r="B159" i="4"/>
  <c r="F158" i="4"/>
  <c r="E158" i="4"/>
  <c r="D158" i="4"/>
  <c r="C158" i="4"/>
  <c r="B158" i="4"/>
  <c r="F157" i="4"/>
  <c r="E157" i="4"/>
  <c r="D157" i="4"/>
  <c r="C157" i="4"/>
  <c r="B157" i="4"/>
  <c r="F156" i="4"/>
  <c r="E156" i="4"/>
  <c r="D156" i="4"/>
  <c r="C156" i="4"/>
  <c r="B156" i="4"/>
  <c r="F155" i="4"/>
  <c r="E155" i="4"/>
  <c r="D155" i="4"/>
  <c r="C155" i="4"/>
  <c r="B155" i="4"/>
  <c r="F154" i="4"/>
  <c r="E154" i="4"/>
  <c r="D154" i="4"/>
  <c r="C154" i="4"/>
  <c r="B154" i="4"/>
  <c r="F153" i="4"/>
  <c r="E153" i="4"/>
  <c r="D153" i="4"/>
  <c r="C153" i="4"/>
  <c r="B153" i="4"/>
  <c r="F152" i="4"/>
  <c r="E152" i="4"/>
  <c r="D152" i="4"/>
  <c r="C152" i="4"/>
  <c r="B152" i="4"/>
  <c r="F151" i="4"/>
  <c r="E151" i="4"/>
  <c r="D151" i="4"/>
  <c r="C151" i="4"/>
  <c r="B151" i="4"/>
  <c r="F150" i="4"/>
  <c r="E150" i="4"/>
  <c r="D150" i="4"/>
  <c r="C150" i="4"/>
  <c r="B150" i="4"/>
  <c r="F149" i="4"/>
  <c r="E149" i="4"/>
  <c r="D149" i="4"/>
  <c r="C149" i="4"/>
  <c r="B149" i="4"/>
  <c r="F148" i="4"/>
  <c r="E148" i="4"/>
  <c r="D148" i="4"/>
  <c r="C148" i="4"/>
  <c r="B148" i="4"/>
  <c r="F147" i="4"/>
  <c r="E147" i="4"/>
  <c r="D147" i="4"/>
  <c r="C147" i="4"/>
  <c r="B147" i="4"/>
  <c r="F146" i="4"/>
  <c r="E146" i="4"/>
  <c r="D146" i="4"/>
  <c r="C146" i="4"/>
  <c r="B146" i="4"/>
  <c r="F145" i="4"/>
  <c r="E145" i="4"/>
  <c r="D145" i="4"/>
  <c r="C145" i="4"/>
  <c r="B145" i="4"/>
  <c r="F144" i="4"/>
  <c r="E144" i="4"/>
  <c r="D144" i="4"/>
  <c r="C144" i="4"/>
  <c r="B144" i="4"/>
  <c r="F143" i="4"/>
  <c r="E143" i="4"/>
  <c r="D143" i="4"/>
  <c r="C143" i="4"/>
  <c r="B143" i="4"/>
  <c r="F142" i="4"/>
  <c r="E142" i="4"/>
  <c r="D142" i="4"/>
  <c r="C142" i="4"/>
  <c r="B142" i="4"/>
  <c r="F141" i="4"/>
  <c r="E141" i="4"/>
  <c r="D141" i="4"/>
  <c r="C141" i="4"/>
  <c r="B141" i="4"/>
  <c r="F140" i="4"/>
  <c r="E140" i="4"/>
  <c r="D140" i="4"/>
  <c r="C140" i="4"/>
  <c r="B140" i="4"/>
  <c r="F139" i="4"/>
  <c r="E139" i="4"/>
  <c r="D139" i="4"/>
  <c r="C139" i="4"/>
  <c r="B139" i="4"/>
  <c r="F138" i="4"/>
  <c r="E138" i="4"/>
  <c r="D138" i="4"/>
  <c r="C138" i="4"/>
  <c r="B138" i="4"/>
  <c r="F137" i="4"/>
  <c r="E137" i="4"/>
  <c r="D137" i="4"/>
  <c r="C137" i="4"/>
  <c r="B137" i="4"/>
  <c r="F136" i="4"/>
  <c r="E136" i="4"/>
  <c r="D136" i="4"/>
  <c r="C136" i="4"/>
  <c r="B136" i="4"/>
  <c r="F135" i="4"/>
  <c r="E135" i="4"/>
  <c r="D135" i="4"/>
  <c r="C135" i="4"/>
  <c r="B135" i="4"/>
  <c r="F134" i="4"/>
  <c r="E134" i="4"/>
  <c r="D134" i="4"/>
  <c r="C134" i="4"/>
  <c r="B134" i="4"/>
  <c r="F133" i="4"/>
  <c r="E133" i="4"/>
  <c r="D133" i="4"/>
  <c r="C133" i="4"/>
  <c r="B133" i="4"/>
  <c r="F132" i="4"/>
  <c r="E132" i="4"/>
  <c r="D132" i="4"/>
  <c r="C132" i="4"/>
  <c r="B132" i="4"/>
  <c r="F131" i="4"/>
  <c r="E131" i="4"/>
  <c r="D131" i="4"/>
  <c r="C131" i="4"/>
  <c r="B131" i="4"/>
  <c r="F130" i="4"/>
  <c r="E130" i="4"/>
  <c r="D130" i="4"/>
  <c r="C130" i="4"/>
  <c r="B130" i="4"/>
  <c r="F129" i="4"/>
  <c r="E129" i="4"/>
  <c r="D129" i="4"/>
  <c r="C129" i="4"/>
  <c r="B129" i="4"/>
  <c r="F128" i="4"/>
  <c r="E128" i="4"/>
  <c r="D128" i="4"/>
  <c r="C128" i="4"/>
  <c r="B128" i="4"/>
  <c r="F127" i="4"/>
  <c r="E127" i="4"/>
  <c r="D127" i="4"/>
  <c r="C127" i="4"/>
  <c r="B127" i="4"/>
  <c r="F126" i="4"/>
  <c r="E126" i="4"/>
  <c r="D126" i="4"/>
  <c r="C126" i="4"/>
  <c r="B126" i="4"/>
  <c r="F125" i="4"/>
  <c r="E125" i="4"/>
  <c r="D125" i="4"/>
  <c r="C125" i="4"/>
  <c r="B125" i="4"/>
  <c r="F124" i="4"/>
  <c r="E124" i="4"/>
  <c r="D124" i="4"/>
  <c r="C124" i="4"/>
  <c r="B124" i="4"/>
  <c r="F123" i="4"/>
  <c r="E123" i="4"/>
  <c r="D123" i="4"/>
  <c r="C123" i="4"/>
  <c r="B123" i="4"/>
  <c r="F122" i="4"/>
  <c r="E122" i="4"/>
  <c r="D122" i="4"/>
  <c r="C122" i="4"/>
  <c r="B122" i="4"/>
  <c r="F121" i="4"/>
  <c r="E121" i="4"/>
  <c r="D121" i="4"/>
  <c r="C121" i="4"/>
  <c r="B121" i="4"/>
  <c r="F120" i="4"/>
  <c r="E120" i="4"/>
  <c r="D120" i="4"/>
  <c r="C120" i="4"/>
  <c r="B120" i="4"/>
  <c r="F119" i="4"/>
  <c r="E119" i="4"/>
  <c r="D119" i="4"/>
  <c r="C119" i="4"/>
  <c r="B119" i="4"/>
  <c r="F118" i="4"/>
  <c r="E118" i="4"/>
  <c r="D118" i="4"/>
  <c r="C118" i="4"/>
  <c r="B118" i="4"/>
  <c r="F117" i="4"/>
  <c r="E117" i="4"/>
  <c r="D117" i="4"/>
  <c r="C117" i="4"/>
  <c r="B117" i="4"/>
  <c r="F116" i="4"/>
  <c r="E116" i="4"/>
  <c r="D116" i="4"/>
  <c r="C116" i="4"/>
  <c r="B116" i="4"/>
  <c r="F115" i="4"/>
  <c r="E115" i="4"/>
  <c r="D115" i="4"/>
  <c r="C115" i="4"/>
  <c r="B115" i="4"/>
  <c r="F114" i="4"/>
  <c r="E114" i="4"/>
  <c r="D114" i="4"/>
  <c r="C114" i="4"/>
  <c r="B114" i="4"/>
  <c r="F113" i="4"/>
  <c r="E113" i="4"/>
  <c r="D113" i="4"/>
  <c r="C113" i="4"/>
  <c r="B113" i="4"/>
  <c r="F112" i="4"/>
  <c r="E112" i="4"/>
  <c r="D112" i="4"/>
  <c r="C112" i="4"/>
  <c r="B112" i="4"/>
  <c r="F111" i="4"/>
  <c r="E111" i="4"/>
  <c r="D111" i="4"/>
  <c r="C111" i="4"/>
  <c r="B111" i="4"/>
  <c r="F110" i="4"/>
  <c r="E110" i="4"/>
  <c r="D110" i="4"/>
  <c r="C110" i="4"/>
  <c r="B110" i="4"/>
  <c r="F109" i="4"/>
  <c r="E109" i="4"/>
  <c r="D109" i="4"/>
  <c r="C109" i="4"/>
  <c r="B109" i="4"/>
  <c r="F108" i="4"/>
  <c r="E108" i="4"/>
  <c r="D108" i="4"/>
  <c r="C108" i="4"/>
  <c r="B108" i="4"/>
  <c r="F107" i="4"/>
  <c r="E107" i="4"/>
  <c r="D107" i="4"/>
  <c r="C107" i="4"/>
  <c r="B107" i="4"/>
  <c r="F106" i="4"/>
  <c r="E106" i="4"/>
  <c r="D106" i="4"/>
  <c r="C106" i="4"/>
  <c r="B106" i="4"/>
  <c r="F105" i="4"/>
  <c r="E105" i="4"/>
  <c r="D105" i="4"/>
  <c r="C105" i="4"/>
  <c r="B105" i="4"/>
  <c r="F104" i="4"/>
  <c r="E104" i="4"/>
  <c r="D104" i="4"/>
  <c r="C104" i="4"/>
  <c r="B104" i="4"/>
  <c r="F103" i="4"/>
  <c r="E103" i="4"/>
  <c r="D103" i="4"/>
  <c r="C103" i="4"/>
  <c r="B103" i="4"/>
  <c r="F102" i="4"/>
  <c r="E102" i="4"/>
  <c r="D102" i="4"/>
  <c r="C102" i="4"/>
  <c r="B102" i="4"/>
  <c r="F101" i="4"/>
  <c r="E101" i="4"/>
  <c r="D101" i="4"/>
  <c r="C101" i="4"/>
  <c r="B101" i="4"/>
  <c r="F100" i="4"/>
  <c r="E100" i="4"/>
  <c r="D100" i="4"/>
  <c r="C100" i="4"/>
  <c r="B100" i="4"/>
  <c r="F99" i="4"/>
  <c r="E99" i="4"/>
  <c r="D99" i="4"/>
  <c r="C99" i="4"/>
  <c r="B99" i="4"/>
  <c r="F98" i="4"/>
  <c r="E98" i="4"/>
  <c r="D98" i="4"/>
  <c r="C98" i="4"/>
  <c r="B98" i="4"/>
  <c r="F97" i="4"/>
  <c r="E97" i="4"/>
  <c r="D97" i="4"/>
  <c r="C97" i="4"/>
  <c r="B97" i="4"/>
  <c r="F96" i="4"/>
  <c r="E96" i="4"/>
  <c r="D96" i="4"/>
  <c r="C96" i="4"/>
  <c r="B96" i="4"/>
  <c r="F95" i="4"/>
  <c r="E95" i="4"/>
  <c r="D95" i="4"/>
  <c r="C95" i="4"/>
  <c r="B95" i="4"/>
  <c r="F94" i="4"/>
  <c r="E94" i="4"/>
  <c r="D94" i="4"/>
  <c r="C94" i="4"/>
  <c r="B94" i="4"/>
  <c r="F93" i="4"/>
  <c r="E93" i="4"/>
  <c r="D93" i="4"/>
  <c r="C93" i="4"/>
  <c r="B93" i="4"/>
  <c r="F92" i="4"/>
  <c r="E92" i="4"/>
  <c r="D92" i="4"/>
  <c r="C92" i="4"/>
  <c r="B92" i="4"/>
  <c r="F91" i="4"/>
  <c r="E91" i="4"/>
  <c r="D91" i="4"/>
  <c r="C91" i="4"/>
  <c r="B91" i="4"/>
  <c r="F90" i="4"/>
  <c r="E90" i="4"/>
  <c r="D90" i="4"/>
  <c r="C90" i="4"/>
  <c r="B90" i="4"/>
  <c r="F89" i="4"/>
  <c r="E89" i="4"/>
  <c r="D89" i="4"/>
  <c r="C89" i="4"/>
  <c r="B89" i="4"/>
  <c r="F88" i="4"/>
  <c r="E88" i="4"/>
  <c r="D88" i="4"/>
  <c r="C88" i="4"/>
  <c r="B88" i="4"/>
  <c r="F87" i="4"/>
  <c r="E87" i="4"/>
  <c r="D87" i="4"/>
  <c r="C87" i="4"/>
  <c r="B87" i="4"/>
  <c r="F86" i="4"/>
  <c r="E86" i="4"/>
  <c r="D86" i="4"/>
  <c r="C86" i="4"/>
  <c r="B86" i="4"/>
  <c r="F85" i="4"/>
  <c r="E85" i="4"/>
  <c r="D85" i="4"/>
  <c r="C85" i="4"/>
  <c r="B85" i="4"/>
  <c r="F84" i="4"/>
  <c r="E84" i="4"/>
  <c r="D84" i="4"/>
  <c r="C84" i="4"/>
  <c r="B84" i="4"/>
  <c r="F83" i="4"/>
  <c r="E83" i="4"/>
  <c r="D83" i="4"/>
  <c r="C83" i="4"/>
  <c r="B83" i="4"/>
  <c r="F82" i="4"/>
  <c r="E82" i="4"/>
  <c r="D82" i="4"/>
  <c r="C82" i="4"/>
  <c r="B82" i="4"/>
  <c r="F81" i="4"/>
  <c r="E81" i="4"/>
  <c r="D81" i="4"/>
  <c r="C81" i="4"/>
  <c r="B81" i="4"/>
  <c r="F80" i="4"/>
  <c r="E80" i="4"/>
  <c r="D80" i="4"/>
  <c r="C80" i="4"/>
  <c r="B80" i="4"/>
  <c r="F79" i="4"/>
  <c r="E79" i="4"/>
  <c r="D79" i="4"/>
  <c r="C79" i="4"/>
  <c r="B79" i="4"/>
  <c r="F78" i="4"/>
  <c r="E78" i="4"/>
  <c r="D78" i="4"/>
  <c r="C78" i="4"/>
  <c r="B78" i="4"/>
  <c r="F77" i="4"/>
  <c r="E77" i="4"/>
  <c r="D77" i="4"/>
  <c r="C77" i="4"/>
  <c r="B77" i="4"/>
  <c r="F76" i="4"/>
  <c r="E76" i="4"/>
  <c r="D76" i="4"/>
  <c r="C76" i="4"/>
  <c r="B76" i="4"/>
  <c r="F75" i="4"/>
  <c r="E75" i="4"/>
  <c r="D75" i="4"/>
  <c r="C75" i="4"/>
  <c r="B75" i="4"/>
  <c r="F74" i="4"/>
  <c r="E74" i="4"/>
  <c r="D74" i="4"/>
  <c r="C74" i="4"/>
  <c r="B74" i="4"/>
  <c r="F73" i="4"/>
  <c r="E73" i="4"/>
  <c r="D73" i="4"/>
  <c r="C73" i="4"/>
  <c r="B73" i="4"/>
  <c r="F72" i="4"/>
  <c r="E72" i="4"/>
  <c r="D72" i="4"/>
  <c r="C72" i="4"/>
  <c r="B72" i="4"/>
  <c r="F71" i="4"/>
  <c r="E71" i="4"/>
  <c r="D71" i="4"/>
  <c r="C71" i="4"/>
  <c r="B71" i="4"/>
  <c r="F70" i="4"/>
  <c r="E70" i="4"/>
  <c r="D70" i="4"/>
  <c r="C70" i="4"/>
  <c r="B70" i="4"/>
  <c r="F69" i="4"/>
  <c r="E69" i="4"/>
  <c r="D69" i="4"/>
  <c r="C69" i="4"/>
  <c r="B69" i="4"/>
  <c r="F68" i="4"/>
  <c r="E68" i="4"/>
  <c r="D68" i="4"/>
  <c r="C68" i="4"/>
  <c r="B68" i="4"/>
  <c r="F67" i="4"/>
  <c r="E67" i="4"/>
  <c r="D67" i="4"/>
  <c r="C67" i="4"/>
  <c r="B67" i="4"/>
  <c r="F66" i="4"/>
  <c r="E66" i="4"/>
  <c r="D66" i="4"/>
  <c r="C66" i="4"/>
  <c r="B66" i="4"/>
  <c r="F65" i="4"/>
  <c r="E65" i="4"/>
  <c r="D65" i="4"/>
  <c r="C65" i="4"/>
  <c r="B65" i="4"/>
  <c r="F64" i="4"/>
  <c r="E64" i="4"/>
  <c r="D64" i="4"/>
  <c r="C64" i="4"/>
  <c r="B64" i="4"/>
  <c r="F63" i="4"/>
  <c r="E63" i="4"/>
  <c r="D63" i="4"/>
  <c r="C63" i="4"/>
  <c r="B63" i="4"/>
  <c r="F62" i="4"/>
  <c r="E62" i="4"/>
  <c r="D62" i="4"/>
  <c r="C62" i="4"/>
  <c r="B62" i="4"/>
  <c r="F61" i="4"/>
  <c r="E61" i="4"/>
  <c r="D61" i="4"/>
  <c r="C61" i="4"/>
  <c r="B61" i="4"/>
  <c r="F60" i="4"/>
  <c r="E60" i="4"/>
  <c r="D60" i="4"/>
  <c r="C60" i="4"/>
  <c r="B60" i="4"/>
  <c r="F59" i="4"/>
  <c r="E59" i="4"/>
  <c r="D59" i="4"/>
  <c r="C59" i="4"/>
  <c r="B59" i="4"/>
  <c r="F58" i="4"/>
  <c r="E58" i="4"/>
  <c r="D58" i="4"/>
  <c r="C58" i="4"/>
  <c r="B58" i="4"/>
  <c r="F57" i="4"/>
  <c r="E57" i="4"/>
  <c r="D57" i="4"/>
  <c r="C57" i="4"/>
  <c r="B57" i="4"/>
  <c r="F56" i="4"/>
  <c r="E56" i="4"/>
  <c r="D56" i="4"/>
  <c r="C56" i="4"/>
  <c r="B56" i="4"/>
  <c r="F55" i="4"/>
  <c r="E55" i="4"/>
  <c r="D55" i="4"/>
  <c r="C55" i="4"/>
  <c r="B55" i="4"/>
  <c r="F54" i="4"/>
  <c r="E54" i="4"/>
  <c r="D54" i="4"/>
  <c r="C54" i="4"/>
  <c r="B54" i="4"/>
  <c r="F53" i="4"/>
  <c r="E53" i="4"/>
  <c r="D53" i="4"/>
  <c r="C53" i="4"/>
  <c r="B53" i="4"/>
  <c r="F52" i="4"/>
  <c r="E52" i="4"/>
  <c r="D52" i="4"/>
  <c r="C52" i="4"/>
  <c r="B52" i="4"/>
  <c r="F51" i="4"/>
  <c r="E51" i="4"/>
  <c r="D51" i="4"/>
  <c r="C51" i="4"/>
  <c r="B51" i="4"/>
  <c r="F50" i="4"/>
  <c r="E50" i="4"/>
  <c r="D50" i="4"/>
  <c r="C50" i="4"/>
  <c r="B50" i="4"/>
  <c r="F49" i="4"/>
  <c r="E49" i="4"/>
  <c r="D49" i="4"/>
  <c r="C49" i="4"/>
  <c r="B49" i="4"/>
  <c r="F48" i="4"/>
  <c r="E48" i="4"/>
  <c r="D48" i="4"/>
  <c r="C48" i="4"/>
  <c r="B48" i="4"/>
  <c r="F47" i="4"/>
  <c r="E47" i="4"/>
  <c r="D47" i="4"/>
  <c r="C47" i="4"/>
  <c r="B47" i="4"/>
  <c r="F46" i="4"/>
  <c r="E46" i="4"/>
  <c r="D46" i="4"/>
  <c r="C46" i="4"/>
  <c r="B46" i="4"/>
  <c r="F45" i="4"/>
  <c r="E45" i="4"/>
  <c r="D45" i="4"/>
  <c r="C45" i="4"/>
  <c r="B45" i="4"/>
  <c r="F44" i="4"/>
  <c r="E44" i="4"/>
  <c r="D44" i="4"/>
  <c r="C44" i="4"/>
  <c r="B44" i="4"/>
  <c r="F43" i="4"/>
  <c r="E43" i="4"/>
  <c r="D43" i="4"/>
  <c r="C43" i="4"/>
  <c r="B43" i="4"/>
  <c r="F42" i="4"/>
  <c r="E42" i="4"/>
  <c r="D42" i="4"/>
  <c r="C42" i="4"/>
  <c r="B42" i="4"/>
  <c r="F41" i="4"/>
  <c r="E41" i="4"/>
  <c r="D41" i="4"/>
  <c r="C41" i="4"/>
  <c r="B41" i="4"/>
  <c r="F40" i="4"/>
  <c r="E40" i="4"/>
  <c r="D40" i="4"/>
  <c r="C40" i="4"/>
  <c r="B40" i="4"/>
  <c r="F39" i="4"/>
  <c r="E39" i="4"/>
  <c r="D39" i="4"/>
  <c r="C39" i="4"/>
  <c r="B39" i="4"/>
  <c r="F38" i="4"/>
  <c r="E38" i="4"/>
  <c r="D38" i="4"/>
  <c r="C38" i="4"/>
  <c r="B38" i="4"/>
  <c r="F37" i="4"/>
  <c r="E37" i="4"/>
  <c r="D37" i="4"/>
  <c r="C37" i="4"/>
  <c r="B37" i="4"/>
  <c r="F36" i="4"/>
  <c r="E36" i="4"/>
  <c r="D36" i="4"/>
  <c r="C36" i="4"/>
  <c r="B36" i="4"/>
  <c r="F35" i="4"/>
  <c r="E35" i="4"/>
  <c r="D35" i="4"/>
  <c r="C35" i="4"/>
  <c r="B35" i="4"/>
  <c r="F34" i="4"/>
  <c r="E34" i="4"/>
  <c r="D34" i="4"/>
  <c r="C34" i="4"/>
  <c r="B34" i="4"/>
  <c r="F33" i="4"/>
  <c r="E33" i="4"/>
  <c r="D33" i="4"/>
  <c r="C33" i="4"/>
  <c r="B33" i="4"/>
  <c r="F32" i="4"/>
  <c r="E32" i="4"/>
  <c r="D32" i="4"/>
  <c r="C32" i="4"/>
  <c r="B32" i="4"/>
  <c r="F31" i="4"/>
  <c r="E31" i="4"/>
  <c r="D31" i="4"/>
  <c r="C31" i="4"/>
  <c r="B31" i="4"/>
  <c r="F30" i="4"/>
  <c r="E30" i="4"/>
  <c r="D30" i="4"/>
  <c r="C30" i="4"/>
  <c r="B30" i="4"/>
  <c r="F29" i="4"/>
  <c r="E29" i="4"/>
  <c r="D29" i="4"/>
  <c r="C29" i="4"/>
  <c r="B29" i="4"/>
  <c r="F28" i="4"/>
  <c r="E28" i="4"/>
  <c r="D28" i="4"/>
  <c r="C28" i="4"/>
  <c r="B28" i="4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F2" i="4"/>
  <c r="E2" i="4"/>
  <c r="D2" i="4"/>
  <c r="C2" i="4"/>
  <c r="B2" i="4"/>
  <c r="B19" i="2"/>
  <c r="B18" i="2"/>
  <c r="B17" i="2"/>
  <c r="E16" i="2"/>
  <c r="B16" i="2"/>
  <c r="E15" i="2"/>
  <c r="B15" i="2"/>
  <c r="E14" i="2"/>
  <c r="B14" i="2"/>
  <c r="E13" i="2"/>
  <c r="B13" i="2"/>
  <c r="B9" i="2"/>
  <c r="B8" i="2"/>
  <c r="G7" i="2"/>
  <c r="F7" i="2"/>
  <c r="E7" i="2"/>
  <c r="B7" i="2"/>
  <c r="G6" i="2"/>
  <c r="F6" i="2"/>
  <c r="E6" i="2"/>
  <c r="B6" i="2"/>
  <c r="G5" i="2"/>
  <c r="F5" i="2"/>
  <c r="E5" i="2"/>
  <c r="B5" i="2"/>
  <c r="G4" i="2"/>
  <c r="F4" i="2"/>
  <c r="E4" i="2"/>
  <c r="B4" i="2"/>
</calcChain>
</file>

<file path=xl/sharedStrings.xml><?xml version="1.0" encoding="utf-8"?>
<sst xmlns="http://schemas.openxmlformats.org/spreadsheetml/2006/main" count="901" uniqueCount="579">
  <si>
    <t>date</t>
  </si>
  <si>
    <t>country/bloc</t>
  </si>
  <si>
    <t>Acquiescence (0/1)</t>
  </si>
  <si>
    <t>Adaptation (0/1)</t>
  </si>
  <si>
    <t>Aggregation (0/1)</t>
  </si>
  <si>
    <t>OTHER (0/1)</t>
  </si>
  <si>
    <t>other_type</t>
  </si>
  <si>
    <t>source outlet</t>
  </si>
  <si>
    <t>source URL</t>
  </si>
  <si>
    <t>headline</t>
  </si>
  <si>
    <t>us_trigger</t>
  </si>
  <si>
    <t>action description</t>
  </si>
  <si>
    <t>key quote supporting categorization</t>
  </si>
  <si>
    <t>classification_confidence</t>
  </si>
  <si>
    <t>Interim_result_type</t>
  </si>
  <si>
    <t>Interim_results</t>
  </si>
  <si>
    <t>Interim_result_source_URL</t>
  </si>
  <si>
    <t>Vietnam</t>
  </si>
  <si>
    <t>WTO_challenge</t>
  </si>
  <si>
    <t>WTO</t>
  </si>
  <si>
    <t>https://www.wto.org/english/tratop_e/dispu_e/cases_e/ds404_e.htm</t>
  </si>
  <si>
    <t>Vietnam challenges US shrimp anti-dumping measures</t>
  </si>
  <si>
    <t>US anti-dumping duties / zeroing on Vietnamese shrimp</t>
  </si>
  <si>
    <t>Vietnam requested WTO consultations over US anti-dumping reviews and zeroing practices. This is direct legal contestation, not one of the 3As.</t>
  </si>
  <si>
    <t>Viet Nam requested consultations with the United States concerning a number of anti-dumping measures</t>
  </si>
  <si>
    <t>High</t>
  </si>
  <si>
    <t>US_holds_position</t>
  </si>
  <si>
    <t>No clear US relief followed within 60 days; the dispute proceeded through WTO litigation while the US anti-dumping measures remained in place.</t>
  </si>
  <si>
    <t>South Korea</t>
  </si>
  <si>
    <t>US Department of State</t>
  </si>
  <si>
    <t>https://2009-2017.state.gov/e/eb/rls/rm/2011/166630.htm</t>
  </si>
  <si>
    <t>Korea accepts revised KORUS auto package</t>
  </si>
  <si>
    <t>US refusal to ratify original KORUS over auto market-access concerns</t>
  </si>
  <si>
    <t>Seoul accepted revised auto-market terms to address named US objections and unlock US ratification.</t>
  </si>
  <si>
    <t>Korea will immediately cut in half its tariffs on U.S. automotive exports</t>
  </si>
  <si>
    <t>no_clear_result_within_60d</t>
  </si>
  <si>
    <t>The revised KORUS package resolved the immediate bilateral negotiating impasse, but US congressional approval/implementation did not occur within 60 days.</t>
  </si>
  <si>
    <t>Korea relaxes auto safety and environmental barriers</t>
  </si>
  <si>
    <t>US KORUS auto market-access demands</t>
  </si>
  <si>
    <t>The revised KORUS package addressed Korean safety and environmental standards that Washington said impeded US auto exports.</t>
  </si>
  <si>
    <t>addressing ways Korea’s system of automotive safety standards have served as barriers</t>
  </si>
  <si>
    <t>Japan</t>
  </si>
  <si>
    <t>USTR</t>
  </si>
  <si>
    <t>https://www.ustr.gov/about-us/policy-offices/press-office/press-releases/2011/december/us-trade-representative-ron-kirk-japanese-ministe</t>
  </si>
  <si>
    <t>Japan launches review of US beef restrictions</t>
  </si>
  <si>
    <t>Longstanding US demand for wider beef-market access</t>
  </si>
  <si>
    <t>Japan launched a risk-assessment process to reassess import restrictions after sustained US pressure.</t>
  </si>
  <si>
    <t>reassess import restrictions through the launch of a risk assessment process</t>
  </si>
  <si>
    <t>implementation/monitoring</t>
  </si>
  <si>
    <t>The review process continued; no discrete US concession or escalation attributable to Japan's review was identified within 60 days.</t>
  </si>
  <si>
    <t>https://ustr.gov/node/1458</t>
  </si>
  <si>
    <t>Vietnam launches second WTO challenge to US shrimp duties</t>
  </si>
  <si>
    <t>US anti-dumping measures on frozen warmwater shrimp</t>
  </si>
  <si>
    <t>Vietnam again requested WTO consultations over US anti-dumping reviews and related practices.</t>
  </si>
  <si>
    <t>The United States defended its measures and the dispute proceeded to a WTO panel rather than producing near-term relief.</t>
  </si>
  <si>
    <t>https://www.wto.org/english/news_e/news13_e/dsb_18feb13_e.htm</t>
  </si>
  <si>
    <t>https://ustr.gov/about-us/policy-offices/press-office/fact-sheets/2013/april/US-consultations-Japan</t>
  </si>
  <si>
    <t>Japan expands simplified certification for US autos</t>
  </si>
  <si>
    <t>US conditions for supporting Japan entry into TPP negotiations</t>
  </si>
  <si>
    <t>Japan more than doubled the number of vehicles per type eligible for its simplified Preferential Handling Procedure.</t>
  </si>
  <si>
    <t>more than double the number of motor vehicles eligible for import under its Preferential Handling Procedure</t>
  </si>
  <si>
    <t>US_concedes/relaxes</t>
  </si>
  <si>
    <t>The United States completed bilateral consultations, endorsed Japan's TPP participation and notified Congress of its intent to include Japan in the negotiations.</t>
  </si>
  <si>
    <t>https://ustr.gov/about-us/policy-offices/press-office/press-releases/2013/april/congressional-notification-japan-tpp</t>
  </si>
  <si>
    <t>Japan accepts parallel auto non-tariff negotiations</t>
  </si>
  <si>
    <t>US conditions for Japan TPP entry</t>
  </si>
  <si>
    <t>Japan accepted bilateral negotiations on a broad range of auto non-tariff barriers alongside TPP.</t>
  </si>
  <si>
    <t>agreed to address a broad range of non-tariff measures in Japan’s automotive sector</t>
  </si>
  <si>
    <t>Japan freezes new Japan Post insurance products</t>
  </si>
  <si>
    <t>US insurance-market level-playing-field demand tied to TPP entry</t>
  </si>
  <si>
    <t>Japan agreed not to approve specified new Japan Post insurance products until competitive conditions improved.</t>
  </si>
  <si>
    <t>refrain from approving new or modified cancer insurance and/or stand-alone medical products</t>
  </si>
  <si>
    <t>India</t>
  </si>
  <si>
    <t>https://ustr.gov/about-us/policy-offices/press-office/press-releases/2013/july/readout-froman-sharma</t>
  </si>
  <si>
    <t>India removes private-sector electronics local-purchase mandate</t>
  </si>
  <si>
    <t>US objections to Preferential Market Access localization requirements</t>
  </si>
  <si>
    <t>India committed to modify PMA so private electronics procurement would no longer face domestic-manufacturing mandates.</t>
  </si>
  <si>
    <t>revised policy would not have domestic manufacturing requirements...with respect to private sector procurement</t>
  </si>
  <si>
    <t>USTR welcomed India's commitment to remove private-sector localization requirements but explicitly maintained concern about other localization barriers.</t>
  </si>
  <si>
    <t>Indonesia</t>
  </si>
  <si>
    <t>legal_defense</t>
  </si>
  <si>
    <t>https://www.ustr.gov/about-us/policy-offices/press-office/press-releases/2013/march/ustr-kirk-wto-dispute-indonesia</t>
  </si>
  <si>
    <t>Indonesia maintains import restrictions after US consultations</t>
  </si>
  <si>
    <t>US WTO challenge to horticultural and animal-product import restrictions</t>
  </si>
  <si>
    <t>US consultations failed to resolve the dispute and Indonesia maintained/revised restrictive measures; this is resistance/non-concession rather than a 3A.</t>
  </si>
  <si>
    <t>consultations did not resolve the concerns</t>
  </si>
  <si>
    <t>Med</t>
  </si>
  <si>
    <t>US_escalates</t>
  </si>
  <si>
    <t>The United States requested establishment of a WTO dispute-settlement panel, moving the dispute beyond consultations.</t>
  </si>
  <si>
    <t>https://ustr.gov/about-us/policy-offices/press-office/press-releases/2013/march/ustr-kirk-wto-dispute-indonesia</t>
  </si>
  <si>
    <t>Philippines</t>
  </si>
  <si>
    <t>https://ustr.gov/about-us/policy-offices/press-office/press-releases/2014/April/US-Removes-the-Philippines-from-the-Special-301-Watch-List</t>
  </si>
  <si>
    <t>Philippines reforms IP regime and leaves Special 301 Watch List</t>
  </si>
  <si>
    <t>US Special 301 intellectual-property pressure</t>
  </si>
  <si>
    <t>After years of US Special 301 scrutiny, the Philippines enacted legislative/regulatory reforms and improved enforcement sufficiently for removal from the Watch List.</t>
  </si>
  <si>
    <t>enacted a series of significant legislative and regulatory reforms</t>
  </si>
  <si>
    <t>USTR removed the Philippines from the Special 301 Watch List while stating that engagement on remaining IP issues would continue.</t>
  </si>
  <si>
    <t>Obama White House</t>
  </si>
  <si>
    <t>https://obamawhitehouse.archives.gov/the-press-office/2014/04/28/fact-sheet-united-states-philippines-bilateral-relations</t>
  </si>
  <si>
    <t>Philippines agrees agricultural market-access package</t>
  </si>
  <si>
    <t>US support sought for special WTO treatment of Philippine rice restrictions</t>
  </si>
  <si>
    <t>Manila agreed market-access steps facilitating US agricultural exports in exchange for US support for its WTO rice request.</t>
  </si>
  <si>
    <t>Agreement in principle on the general market access terms, including steps to facilitate trade by the Philippines</t>
  </si>
  <si>
    <t>The United States agreed in principle to support special WTO treatment for Philippine rice restrictions after the market-access package.</t>
  </si>
  <si>
    <t>https://www.wto.org/english/tratop_e/dispu_e/cases_e/ds430_e.htm</t>
  </si>
  <si>
    <t>India commits to implement poultry ruling</t>
  </si>
  <si>
    <t>US WTO challenge to Indian poultry restrictions</t>
  </si>
  <si>
    <t>After losing the dispute, India told the DSB it intended to implement the ruling and requested time to comply.</t>
  </si>
  <si>
    <t>intended to implement the DSB’s recommendations and rulings</t>
  </si>
  <si>
    <t>The United States accepted a negotiated implementation period rather than immediate retaliation; the parties later agreed on a 12-month reasonable period for compliance.</t>
  </si>
  <si>
    <t>https://ustr.gov/about-us/policy-offices/press-office/press-releases/2015/november/ustr-uses-trade-preference</t>
  </si>
  <si>
    <t>US closes Philippines GSP worker-rights review after reforms</t>
  </si>
  <si>
    <t>US GSP worker-rights eligibility review</t>
  </si>
  <si>
    <t>The Philippines reformed labor laws and regulations sufficiently for USTR to close its longstanding GSP review.</t>
  </si>
  <si>
    <t>progress...including through reforms of labor laws and regulations</t>
  </si>
  <si>
    <t>USTR closed the Philippines GSP worker-rights review with no loss of GSP benefits, citing reform progress.</t>
  </si>
  <si>
    <t>Thailand</t>
  </si>
  <si>
    <t>https://ustr.gov/about-us/policy-offices/press-office/press-releases/2016/april/united-states-and-thailand-reaffirm</t>
  </si>
  <si>
    <t>Thailand agrees IP action plan with US</t>
  </si>
  <si>
    <t>US bilateral/Special 301 intellectual-property concerns</t>
  </si>
  <si>
    <t>Thailand agreed with US officials to finalize an IP action plan with benchmarks addressing named concerns.</t>
  </si>
  <si>
    <t>agreed to finalize an action plan...focusing on key concerns and benchmarks for progress</t>
  </si>
  <si>
    <t>USTR's 2016 Special 301 process continued to identify Thailand's IP regime as an area of concern; no clear US relaxation was identified within 60 days.</t>
  </si>
  <si>
    <t>https://ustr.gov/about-us/policy-offices/press-office/press-releases/2016/april/ustr-releases-special-301-report</t>
  </si>
  <si>
    <t>India changes poultry import rules to comply with WTO ruling</t>
  </si>
  <si>
    <t>US WTO poultry dispute and threatened suspension of concessions</t>
  </si>
  <si>
    <t>India notified new rules allowing imports from disease-free countries/zones in response to the adverse ruling.</t>
  </si>
  <si>
    <t>adopted the necessary measures to comply</t>
  </si>
  <si>
    <t>The United States maintained that India had not complied and preserved its request to suspend concessions; the dispute moved into compliance/retaliation procedures.</t>
  </si>
  <si>
    <t>https://www.wto.org/english/news_e/news16_e/dsb_19jul16_e.htm</t>
  </si>
  <si>
    <t>India adopts additional poultry measures after US concerns</t>
  </si>
  <si>
    <t>US bilateral concerns over India’s initial WTO compliance measures</t>
  </si>
  <si>
    <t>India adopted additional measures specifically to address concerns the United States expressed bilaterally.</t>
  </si>
  <si>
    <t>adopted additional measures to address concerns bilaterally expressed by the United States</t>
  </si>
  <si>
    <t>The additional measures became part of the continuing WTO compliance process; no discrete US relaxation within 60 days was identified.</t>
  </si>
  <si>
    <t>WTO_litigation</t>
  </si>
  <si>
    <t>https://www.ustr.gov/about-us/policy-offices/press-office/press-releases/2016/february/united-states-prevails-wto-dispute</t>
  </si>
  <si>
    <t>India defends solar domestic-content rules in WTO case</t>
  </si>
  <si>
    <t>US WTO challenge to Indian solar localization rules</t>
  </si>
  <si>
    <t>India defended its domestic-content requirements against the US challenge; the panel rejected its defenses.</t>
  </si>
  <si>
    <t>Panel rejected India’s defensive arguments</t>
  </si>
  <si>
    <t>The United States prevailed before the WTO panel; India's defence did not produce near-term US withdrawal of the challenge.</t>
  </si>
  <si>
    <t>WTO_appeal</t>
  </si>
  <si>
    <t>USITC</t>
  </si>
  <si>
    <t>https://www.usitc.gov/publications/332/otap2016.html</t>
  </si>
  <si>
    <t>India appeals adverse solar-content ruling</t>
  </si>
  <si>
    <t>US WTO challenge to Indian solar domestic-content rules</t>
  </si>
  <si>
    <t>India appealed the WTO panel decision rather than immediately conceding.</t>
  </si>
  <si>
    <t>India appealed the decision to the WTO Appellate Body</t>
  </si>
  <si>
    <t>The United States continued to defend the adverse WTO ruling through India's appeal; no near-term US concession followed.</t>
  </si>
  <si>
    <t>https://www.wto.org/english/tratop_e/dispu_e/cases_e/ds456_e.htm</t>
  </si>
  <si>
    <t>Malaysia</t>
  </si>
  <si>
    <t>Malaysia MITI</t>
  </si>
  <si>
    <t>https://www.miti.gov.my/index.php/pages/view/3150</t>
  </si>
  <si>
    <t>Malaysia prepares legal reforms to implement TPP</t>
  </si>
  <si>
    <t>TPP obligations negotiated in US-anchored trade agreement</t>
  </si>
  <si>
    <t>Malaysia established an implementation structure and prepared amendments in rules of origin, IP and labour to meet negotiated TPP obligations.</t>
  </si>
  <si>
    <t>several laws will be amended...to meet the obligations stipulated under the TPPA</t>
  </si>
  <si>
    <t>TPP was signed on 4 February 2016 and implementation shifted to domestic ratification; no separate US concession within 60 days followed Malaysia's reform preparations.</t>
  </si>
  <si>
    <t>https://ustr.gov/about-us/policy-offices/press-office/press-releases/2016/February/TPP-Ministers-Statement</t>
  </si>
  <si>
    <t>https://ustr.gov/about-us/policy-offices/press-office/fact-sheets/2016/may/fact-sheet-trans-pacific-partnership%E2%80%99s</t>
  </si>
  <si>
    <t>Vietnam commits to labor-law and institutional reforms under TPP</t>
  </si>
  <si>
    <t>US-Vietnam TPP labor plan / enforceable TPP conditions</t>
  </si>
  <si>
    <t>Vietnam undertook specific legal, regulatory and institutional commitments on labor rights under the US-Vietnam TPP labor plan.</t>
  </si>
  <si>
    <t>Implement legal, regulatory and institutional changes that strengthen the protection of all fundamental labor rights</t>
  </si>
  <si>
    <t>The labor reforms remained tied to prospective TPP implementation and US ratification; no discrete US relaxation within 60 days was identified.</t>
  </si>
  <si>
    <t>https://ustr.gov/trade-agreements/free-trade-agreements/trans-pacific-partnership/tpp-full-text</t>
  </si>
  <si>
    <t>refusal</t>
  </si>
  <si>
    <t>Japan Times</t>
  </si>
  <si>
    <t>https://www.japantimes.co.jp/news/2017/01/24/national/politics-diplomacy/tokyo-turns-down-australian-proposal-tpp-without-u-s-vows-keep-pushing-trump/</t>
  </si>
  <si>
    <t>Japan initially rejects TPP without US</t>
  </si>
  <si>
    <t>US withdrawal from TPP</t>
  </si>
  <si>
    <t>Tokyo initially rejected Australia’s proposal to proceed without Washington and sought US return.</t>
  </si>
  <si>
    <t>TPP without the US was described as meaningless</t>
  </si>
  <si>
    <t>Japan continued trying to preserve the TPP framework; the decisive shift toward TPP-11 occurred later than the 60-day window.</t>
  </si>
  <si>
    <t>https://www.mofa.go.jp/ecm/ep/page25e_000266.html</t>
  </si>
  <si>
    <t>CPTPP-11</t>
  </si>
  <si>
    <t>Reuters / Investing.com</t>
  </si>
  <si>
    <t>https://www.investing.com/news/economy-news/tpp11-members-to-sign-transpacific-trade-pact-in-march-kyodo-1137578</t>
  </si>
  <si>
    <t>TPP-11 agrees to sign CPTPP without United States</t>
  </si>
  <si>
    <t>The remaining 11 states institutionalised a successor trade pact without US participation.</t>
  </si>
  <si>
    <t>forge an Asia-Pacific trade pact after the United States pulled out</t>
  </si>
  <si>
    <t>The eleven parties moved directly from agreement on the text to signing the CPTPP in March 2018; this was institutional follow-through rather than a US response.</t>
  </si>
  <si>
    <t>https://geneva-wto.mfa.gov.sg/mission-updates/press-201801230-23-jan-2018/</t>
  </si>
  <si>
    <t>Yonhap</t>
  </si>
  <si>
    <t>https://en.yna.co.kr/view/AEN20180123003651320</t>
  </si>
  <si>
    <t>South Korea challenges US safeguard tariffs</t>
  </si>
  <si>
    <t>US safeguard tariffs on washers and solar panels</t>
  </si>
  <si>
    <t>Seoul announced a WTO challenge to the US safeguards.</t>
  </si>
  <si>
    <t>will file a petition with the World Trade Organization</t>
  </si>
  <si>
    <t>The safeguard tariffs remained in force and Korea proceeded with WTO consultations; the United States did not withdraw the measure within 60 days.</t>
  </si>
  <si>
    <t>https://www.wto.org/english/tratop_e/dispu_e/cases_e/ds546_e.htm</t>
  </si>
  <si>
    <t>Australia</t>
  </si>
  <si>
    <t>ABC News</t>
  </si>
  <si>
    <t>https://www.abc.net.au/news/2018-03-10/malcolm-turnbull-donald-trump-working-tariff-exemption-agreement/9534984</t>
  </si>
  <si>
    <t>Australia negotiates Section 232 exemption</t>
  </si>
  <si>
    <t>US Section 232 steel/aluminium tariffs</t>
  </si>
  <si>
    <t>Canberra negotiated an exemption rather than retaliating, while stressing reciprocal security and trade ties.</t>
  </si>
  <si>
    <t>committed to having a very fair and reciprocal military and trade relationship</t>
  </si>
  <si>
    <t>The United States ultimately granted Australia a continuing exemption from the Section 232 steel tariff.</t>
  </si>
  <si>
    <t>https://trumpwhitehouse.archives.gov/presidential-actions/presidential-proclamation-adjusting-imports-steel-united-states-3/</t>
  </si>
  <si>
    <t>https://www.usitc.gov/publications/332/other/year_in_trade_2018_v3_0.html</t>
  </si>
  <si>
    <t>South Korea accepts steel quota</t>
  </si>
  <si>
    <t>US Section 232 steel tariff</t>
  </si>
  <si>
    <t>Seoul accepted an absolute annual quota in lieu of the 25% steel tariff.</t>
  </si>
  <si>
    <t>agreed to an absolute annual quota</t>
  </si>
  <si>
    <t>compromise/mutual_settlement</t>
  </si>
  <si>
    <t>The United States exempted Korean steel from the 25% tariff but imposed a product-specific quota equal to 70% of recent import volume.</t>
  </si>
  <si>
    <t>https://ustr.gov/about-us/policy-offices/press-office/fact-sheets/2018/march/new-us-trade-policy-and-national</t>
  </si>
  <si>
    <t>Trump White House</t>
  </si>
  <si>
    <t>https://trumpwhitehouse.archives.gov/briefings-statements/president-donald-j-trump-fulfilling-promise-united-states-korea-free-trade-agreement-national-security/</t>
  </si>
  <si>
    <t>South Korea accepts currency-practice commitments</t>
  </si>
  <si>
    <t>US KORUS renegotiation / currency concerns</t>
  </si>
  <si>
    <t>Seoul committed to avoid competitive devaluation and improve foreign-exchange transparency.</t>
  </si>
  <si>
    <t>strong commitments on exchange rate practices, robust transparency, and reporting</t>
  </si>
  <si>
    <t>The currency understanding was folded into the broader KORUS settlement with transparency and anti-devaluation commitments; US monitoring rather than further immediate pressure followed.</t>
  </si>
  <si>
    <t>Japan/EU</t>
  </si>
  <si>
    <t>Reuters / Business Standard</t>
  </si>
  <si>
    <t>https://www.business-standard.com/article/reuters/japan-eu-sign-free-trade-pact-amid-worries-about-trump-policies-118071700702_1.html</t>
  </si>
  <si>
    <t>Japan and EU sign trade pact amid Trump protectionism</t>
  </si>
  <si>
    <t>Trump tariffs/protectionism</t>
  </si>
  <si>
    <t>Japan and the EU created a large non-US free-trade area framed as a counterweight to protectionism.</t>
  </si>
  <si>
    <t>counterweight to the protectionist forces unleashed by...Trump</t>
  </si>
  <si>
    <t>No US tariff reversal followed the Japan-EU EPA within 60 days; Washington continued its protectionist trade agenda and bilateral pressure on Japan.</t>
  </si>
  <si>
    <t>https://ustr.gov/about-us/policy-offices/press-office/press-releases/2018/september/joint-statement-united-states-and-japan</t>
  </si>
  <si>
    <t>retaliation</t>
  </si>
  <si>
    <t>India PIB</t>
  </si>
  <si>
    <t>https://www.pib.gov.in/PressReleasePage.aspx?PRID=1576941&amp;lang=2&amp;reg=3</t>
  </si>
  <si>
    <t>India imposes retaliatory tariffs on US products</t>
  </si>
  <si>
    <t>India retaliated against 28 US products after delayed implementation of countermeasures.</t>
  </si>
  <si>
    <t>imposed retaliatory tariffs on 28 products</t>
  </si>
  <si>
    <t>India's retaliation did not prompt removal of the US Section 232 steel/aluminium measures within 60 days.</t>
  </si>
  <si>
    <t>https://ustr.gov/countries-regions/south-central-asia/india</t>
  </si>
  <si>
    <t>https://www.ustr.gov/about-us/policy-offices/press-office/press-releases/2020/october/ustr-announces-gsp-enforcement-action-country-successes-and-new-eligibility-reviews</t>
  </si>
  <si>
    <t>Indonesia reforms digital-trade policy under GSP review</t>
  </si>
  <si>
    <t>US GSP market-access review</t>
  </si>
  <si>
    <t>Indonesia changed digital-trade policies in response to US market-access concerns.</t>
  </si>
  <si>
    <t>specific reforms to Indonesia’s digital trade</t>
  </si>
  <si>
    <t>USTR closed Indonesia's GSP market-access review with no loss of benefits, citing the reforms and continued implementation work.</t>
  </si>
  <si>
    <t>Indonesia reforms insurance/reinsurance policy</t>
  </si>
  <si>
    <t>Indonesia made regulatory concessions addressing US insurance and reinsurance concerns.</t>
  </si>
  <si>
    <t>specific reforms to...insurance and reinsurance</t>
  </si>
  <si>
    <t>Indonesia reforms agricultural import policy</t>
  </si>
  <si>
    <t>Jakarta changed agricultural-import policies as part of resolving the US review.</t>
  </si>
  <si>
    <t>specific reforms to...agricultural import policies</t>
  </si>
  <si>
    <t>RCEP-15</t>
  </si>
  <si>
    <t>ASEAN</t>
  </si>
  <si>
    <t>https://asean.org/joint-leaders-statement-on-the-regional-comprehensive-economic-partnership-rcep-3/</t>
  </si>
  <si>
    <t>RCEP signed without United States</t>
  </si>
  <si>
    <t>Protectionism / fractured trading system; US absent</t>
  </si>
  <si>
    <t>Fifteen Asia-Pacific economies institutionalised a major non-US regional trade framework.</t>
  </si>
  <si>
    <t>open, inclusive, rules-based trade and investment arrangement</t>
  </si>
  <si>
    <t>RCEP signature generated no discrete US policy concession within 60 days; the US remained outside the pact.</t>
  </si>
  <si>
    <t>https://rcepsec.org/legal-text/</t>
  </si>
  <si>
    <t>https://ustr.gov/about-us/policy-offices/press-office/press-releases/2021/july/ambassador-katherine-tai-commends-treasury-department-and-state-bank-vietnam-reaching-agreement</t>
  </si>
  <si>
    <t>Vietnam commits to exchange-rate flexibility</t>
  </si>
  <si>
    <t>US Section 301 currency investigation / Treasury concerns</t>
  </si>
  <si>
    <t>The State Bank committed to greater exchange-rate flexibility after US currency pressure.</t>
  </si>
  <si>
    <t>continue to increase its exchange rate flexibility over time</t>
  </si>
  <si>
    <t>Four days later USTR determined that the Treasury-SBV agreement satisfactorily resolved the Section 301 matter and that no trade action was warranted, subject to monitoring.</t>
  </si>
  <si>
    <t>https://ustr.gov/about-us/policy-offices/press-office/press-releases/2021/july/ustr-releases-determination-action-and-ongoing-monitoring-following-us-vietnam-agreement-vietnams</t>
  </si>
  <si>
    <t>Vietnam commits to FX transparency</t>
  </si>
  <si>
    <t>US Section 301 currency investigation</t>
  </si>
  <si>
    <t>Vietnam committed to greater disclosure of foreign-exchange intervention.</t>
  </si>
  <si>
    <t>providing information to Treasury with full transparency</t>
  </si>
  <si>
    <t>https://ustr.gov/about-us/policy-offices/press-office/press-releases/2021/october/ustr-announces-agreement-between-united-states-and-vietnam-resolve-timber-section-301-investigation</t>
  </si>
  <si>
    <t>Vietnam reforms timber-legality system</t>
  </si>
  <si>
    <t>US Section 301 timber investigation</t>
  </si>
  <si>
    <t>Vietnam committed to improve its Timber Legality Assurance System to resolve the investigation.</t>
  </si>
  <si>
    <t>commitments to improve its Timber Legality Assurance System</t>
  </si>
  <si>
    <t>USTR declared the timber agreement a satisfactory resolution and said no Section 301 trade action was warranted, while retaining implementation monitoring.</t>
  </si>
  <si>
    <t>https://ustr.gov/about-us/policy-offices/press-office/press-releases/2023/june/united-states-announces-major-resolution-key-trade-issues-india</t>
  </si>
  <si>
    <t>India agrees to remove retaliatory Section 232 tariffs</t>
  </si>
  <si>
    <t>US Section 232 steel/aluminium dispute</t>
  </si>
  <si>
    <t>India agreed to remove retaliatory tariffs on specified US products as part of a broader resolution of bilateral trade disputes.</t>
  </si>
  <si>
    <t>India will remove the retaliatory tariffs</t>
  </si>
  <si>
    <t>The United States and India agreed to terminate six WTO disputes; India removed retaliatory tariffs, while the underlying US Section 232 regime was not generally withdrawn.</t>
  </si>
  <si>
    <t>Japan METI</t>
  </si>
  <si>
    <t>https://www.meti.go.jp/english/speeches/press_conferences/2023/0331001.html</t>
  </si>
  <si>
    <t>Japan introduces semiconductor-equipment export controls</t>
  </si>
  <si>
    <t>US October 2022 semiconductor export controls</t>
  </si>
  <si>
    <t>Japan imposed controls after allied consultations, while denying it was merely following Washington.</t>
  </si>
  <si>
    <t>exchanging opinions with our allies...including the United States and the Netherlands</t>
  </si>
  <si>
    <t>Japan's controls proceeded as a coordinated export-control tightening; no US relaxation was at issue, and implementation rather than bilateral bargaining followed.</t>
  </si>
  <si>
    <t>https://www.meti.go.jp/english/press/2023/0331_001.html</t>
  </si>
  <si>
    <t>https://www.investing.com/news/commodities-news/indias-modi-brings-a-tariff-gift-to-trump-talks-3866437</t>
  </si>
  <si>
    <t>India promises more US energy purchases</t>
  </si>
  <si>
    <t>Trump reciprocal-tariff pressure</t>
  </si>
  <si>
    <t>New Delhi pledged increased US oil and gas purchases while seeking relief from tariff pressure.</t>
  </si>
  <si>
    <t>promised to buy more U.S. oil, gas</t>
  </si>
  <si>
    <t>The purchase pledge did not avert the April 2 reciprocal-tariff announcement; India was subsequently assigned a country-specific reciprocal tariff.</t>
  </si>
  <si>
    <t>https://www.whitehouse.gov/presidential-actions/2025/04/regulating-imports-with-a-reciprocal-tariff-to-rectify-trade-practices-that-contribute-to-large-and-persistent-annual-united-states-goods-trade-deficits/</t>
  </si>
  <si>
    <t>Reuters / ThePrint</t>
  </si>
  <si>
    <t>https://theprint.in/india/india-offers-us-tariff-cuts-on-farm-imports-eyes-trade-success-government-sources-say/2568891/</t>
  </si>
  <si>
    <t>India offers tariff cuts on US farm goods</t>
  </si>
  <si>
    <t>Threatened Trump reciprocal tariffs</t>
  </si>
  <si>
    <t>India offered tariff reductions on selected US farm products.</t>
  </si>
  <si>
    <t>offered tariff cuts on imports of U.S. farm products</t>
  </si>
  <si>
    <t>India's tariff-cut offer did not avert the April 2 reciprocal-tariff action; negotiations continued rather than producing immediate relief.</t>
  </si>
  <si>
    <t>diplomatic_protest_nonretaliation</t>
  </si>
  <si>
    <t>https://www.investing.com/news/world-news/australia-says-us-tariffs-not-act-of-a-friend-but-rules-out-reciprocal-move-3964018</t>
  </si>
  <si>
    <t>Australia condemns US tariff but rules out retaliation</t>
  </si>
  <si>
    <t>Trump 10% tariff</t>
  </si>
  <si>
    <t>Canberra publicly criticised the tariff while ruling out reciprocal retaliation.</t>
  </si>
  <si>
    <t>not the act of a friend</t>
  </si>
  <si>
    <t>Australia's criticism and non-retaliation did not change the baseline 10% US tariff within 60 days.</t>
  </si>
  <si>
    <t>https://www.dfat.gov.au/news/news/us-tariff-announcements</t>
  </si>
  <si>
    <t>https://www.investing.com/news/economy-news/thailand-to-increase-us-imports-lower-taxes-in-tariff-response-3973145</t>
  </si>
  <si>
    <t>Thailand offers increased US imports</t>
  </si>
  <si>
    <t>Trump 36% reciprocal tariff</t>
  </si>
  <si>
    <t>Bangkok offered to increase US imports during negotiations over the threatened tariff.</t>
  </si>
  <si>
    <t>will increase U.S. imports</t>
  </si>
  <si>
    <t>The United States paused the higher country-specific reciprocal tariffs during negotiations, but no final Thailand rate was settled within 60 days.</t>
  </si>
  <si>
    <t>https://www.whitehouse.gov/presidential-actions/2025/04/modifying-reciprocal-tariff-rates-to-reflect-trading-partner-retaliation-and-alignment/</t>
  </si>
  <si>
    <t>Thailand offers tariff reductions</t>
  </si>
  <si>
    <t>Thailand offered reductions in high tariffs on US goods.</t>
  </si>
  <si>
    <t>lower some of the higher taxes on American goods</t>
  </si>
  <si>
    <t>Singapore</t>
  </si>
  <si>
    <t>Singapore EDB</t>
  </si>
  <si>
    <t>https://www.edb.gov.sg/en/business-insights/insights/trump-tariffs-singapore-to-form-task-force-to-help-businesses-and-workers-says-pm-wong.html</t>
  </si>
  <si>
    <t>Singapore creates tariff-response task force</t>
  </si>
  <si>
    <t>Trump reciprocal/universal tariffs</t>
  </si>
  <si>
    <t>Singapore created a domestic government-business-labour task force to help firms and workers absorb tariff shocks.</t>
  </si>
  <si>
    <t>support businesses and workers</t>
  </si>
  <si>
    <t>Singapore's resilience response did not alter the US baseline tariff; the tariff remained in place while Singapore focused on domestic cushioning.</t>
  </si>
  <si>
    <t>https://www.mti.gov.sg/newsroom/singapore-economic-resilience-taskforce--sert--to-support-businesses-and-workers/</t>
  </si>
  <si>
    <t>https://www.investing.com/news/stock-market-news/south-korea-announces-emergency-measures-for-auto-industry-hit-by-us-tariffs-3975405</t>
  </si>
  <si>
    <t>South Korea launches emergency auto-sector support</t>
  </si>
  <si>
    <t>US 25% auto tariff</t>
  </si>
  <si>
    <t>Seoul introduced financial support, tax measures and subsidies to strengthen the domestic automobile sector.</t>
  </si>
  <si>
    <t>emergency support measures for its auto sector</t>
  </si>
  <si>
    <t>The 25% US auto tariff remained in force during the next two months; Korean auto exports to the US fell sharply in April.</t>
  </si>
  <si>
    <t>https://en.yna.co.kr/view/AEN20250520002000320</t>
  </si>
  <si>
    <t>https://asean.org/joint-statement-of-the-asean-economic-ministers-on-the-introduction-of-unilateral-tariffs-of-the-united-states/</t>
  </si>
  <si>
    <t>ASEAN adopts collective response to US tariffs</t>
  </si>
  <si>
    <t>Trump April 2 reciprocal tariffs</t>
  </si>
  <si>
    <t>ASEAN economic ministers coordinated a common regional response to the unilateral US tariffs.</t>
  </si>
  <si>
    <t>common intention</t>
  </si>
  <si>
    <t>The United States had already announced a 90-day pause on the higher country-specific tariffs; ASEAN pursued dialogue, but Washington did not grant a bloc-wide settlement within 60 days.</t>
  </si>
  <si>
    <t>https://www.investing.com/news/economy-news/thailand-says-to-discuss-tariffs-with-united-states-on-april-21-3982751</t>
  </si>
  <si>
    <t>Thailand promises stricter transshipment inspections</t>
  </si>
  <si>
    <t>Trump reciprocal tariffs / circumvention concerns</t>
  </si>
  <si>
    <t>Bangkok announced tighter inspections to prevent third countries from routing goods through Thailand to evade US duties.</t>
  </si>
  <si>
    <t>stricter inspections...to ensure other countries were not using Thailand to circumvent U.S. taxes</t>
  </si>
  <si>
    <t>Thailand's anti-transshipment pledge fed into continuing bilateral negotiations; no final tariff settlement was reached within 60 days.</t>
  </si>
  <si>
    <t>Singapore MTI</t>
  </si>
  <si>
    <t>Singapore launches Economic Resilience Taskforce</t>
  </si>
  <si>
    <t>Trump tariffs</t>
  </si>
  <si>
    <t>Singapore institutionalised a domestic resilience response to global tariff disruption.</t>
  </si>
  <si>
    <t>strengthen our resilience</t>
  </si>
  <si>
    <t>Singapore's domestic resilience measures did not produce a change in the US baseline tariff within 60 days.</t>
  </si>
  <si>
    <t>https://www.investing.com/news/economy-news/japan-decides-on-economic-package-to-help-ease-tariff-pain-pm-ishiba-says-4003684</t>
  </si>
  <si>
    <t>Japan adopts emergency tariff package</t>
  </si>
  <si>
    <t>Trump auto and reciprocal tariffs</t>
  </si>
  <si>
    <t>Tokyo expanded government-backed financing and other support to cushion tariff-exposed industries.</t>
  </si>
  <si>
    <t>emergency economic package to alleviate any impact</t>
  </si>
  <si>
    <t>Japan-US negotiations continued, but by early May Tokyo reported that a gap remained and US auto-parts tariffs were taking effect; no relief had yet been secured.</t>
  </si>
  <si>
    <t>https://japan.kantei.go.jp/103/statement/202505/03kaiken.html</t>
  </si>
  <si>
    <t>India/UK</t>
  </si>
  <si>
    <t>https://www.investing.com/news/world-news/britain-and-india-clinch-landmark-trade-deal-in-shadow-of-trumps-tariffs-4025079</t>
  </si>
  <si>
    <t>India and UK conclude FTA amid tariff turmoil</t>
  </si>
  <si>
    <t>Trump global tariffs</t>
  </si>
  <si>
    <t>India and Britain concluded their bilateral FTA as US tariff turmoil strengthened incentives to diversify trade relationships.</t>
  </si>
  <si>
    <t>tariff turmoil sparked by U.S.</t>
  </si>
  <si>
    <t>The India-UK FTA was a diversification/aggregation move; no discrete US policy change attributable to it was identified within 60 days.</t>
  </si>
  <si>
    <t>https://www.gov.uk/government/news/uk-india-trade-deal-concluded</t>
  </si>
  <si>
    <t>https://www.investing.com/news/economic-indicators/exclusiveindia-offers-to-slash-tariff-gap-by-two-thirds-in-dash-to-seal-trade-pact-with-trump-4035573</t>
  </si>
  <si>
    <t>India offers major tariff-gap reduction</t>
  </si>
  <si>
    <t>Trump tariff pressure</t>
  </si>
  <si>
    <t>New Delhi offered to sharply reduce its average tariff differential with the United States.</t>
  </si>
  <si>
    <t>slash its tariff gap...to less than 4%</t>
  </si>
  <si>
    <t>US-India negotiations continued through the 60-day window without a final settlement; the offer did not itself produce immediate tariff relief.</t>
  </si>
  <si>
    <t>https://ustr.gov/about-us/policy-offices/press-office/press-releases/2025/june/ustr-greer-meets-indian-commerce-and-industry-minister-goyal</t>
  </si>
  <si>
    <t>https://asean.org/asean-leaders-statement-on-responding-to-global-economic-and-trade-uncertainties/</t>
  </si>
  <si>
    <t>ASEAN leaders coordinate response to tariff uncertainty</t>
  </si>
  <si>
    <t>Rising unilateral tariffs, principally US measures</t>
  </si>
  <si>
    <t>ASEAN leaders collectively instructed officials to monitor diversion and deepen regional economic resilience.</t>
  </si>
  <si>
    <t>strongest resolve to stand together as ASEAN</t>
  </si>
  <si>
    <t>ASEAN's collective position was followed by continuing country-by-country negotiations with Washington rather than a bloc-wide US concession.</t>
  </si>
  <si>
    <t>https://www.investing.com/news/economic-indicators/asean-leaders-agree-tariff-deals-with-us-should-not-harm-members-4065028</t>
  </si>
  <si>
    <t>ASEAN coordinates bilateral US tariff negotiations</t>
  </si>
  <si>
    <t>Trump reciprocal tariffs</t>
  </si>
  <si>
    <t>ASEAN governments agreed their individual bargains with Washington should not harm fellow members.</t>
  </si>
  <si>
    <t>should not be at the expense of any other country</t>
  </si>
  <si>
    <t>Member states continued bilateral negotiations with Washington; no common ASEAN-US tariff settlement emerged within 60 days.</t>
  </si>
  <si>
    <t>ASEAN-GCC</t>
  </si>
  <si>
    <t>https://asean.org/joint-declaration-on-economic-cooperation-between-the-association-of-the-southeast-asian-nations-asean-and-the-gulf-cooperation-council-gcc/</t>
  </si>
  <si>
    <t>ASEAN and GCC deepen economic cooperation</t>
  </si>
  <si>
    <t>Global tariff fragmentation / Trump tariffs</t>
  </si>
  <si>
    <t>ASEAN and Gulf states committed to deeper economic partnership including supply-chain diversification.</t>
  </si>
  <si>
    <t>diversify its supply chains</t>
  </si>
  <si>
    <t>The ASEAN-GCC initiative deepened non-US economic links; no discrete US policy response attributable to it was identified within 60 days.</t>
  </si>
  <si>
    <t>ASEAN-GCC-China</t>
  </si>
  <si>
    <t>https://asean.org/joint-statement-of-the-association-of-southeast-asian-nations-asean-the-cooperation-council-for-the-arab-states-of-the-gulf-gcc-and-the-peoples-republic-of-china-asean-gcc-china-summit/</t>
  </si>
  <si>
    <t>ASEAN-GCC-China summit builds broader cooperation</t>
  </si>
  <si>
    <t>Trump tariff escalation / protectionism</t>
  </si>
  <si>
    <t>ASEAN, GCC and China established a broader cooperative framework stressing resilience and multilateralism.</t>
  </si>
  <si>
    <t>promotes economic prosperity, resilience and sustainable development</t>
  </si>
  <si>
    <t>The ASEAN-GCC-China initiative deepened non-US cooperation; no discrete US policy response attributable to it was identified within 60 days.</t>
  </si>
  <si>
    <t>https://gccsg.org/en/MediaCenter/News/Pages/news2025-5-28-1.aspx</t>
  </si>
  <si>
    <t>https://www.investing.com/news/economic-indicators/indonesia-to-sign-34-billion-pact-with-us-partners-ahead-of-tariff-negotiation-deadline-minister-says-4122078</t>
  </si>
  <si>
    <t>Indonesia prepares $34bn US purchase package</t>
  </si>
  <si>
    <t>Threatened 32% Trump tariff</t>
  </si>
  <si>
    <t>Jakarta assembled a large package of purchases from US suppliers during tariff negotiations.</t>
  </si>
  <si>
    <t>$34 billion...to boost purchases from the U.S.</t>
  </si>
  <si>
    <t>Within three weeks the US-Indonesia framework cut the threatened reciprocal tariff from 32% to 19%, alongside extensive Indonesian market-access commitments.</t>
  </si>
  <si>
    <t>https://www.whitehouse.gov/briefings-statements/2025/07/joint-statement-on-framework-for-united-states-indonesia-agreement-on-reciprocal-trade/</t>
  </si>
  <si>
    <t>https://www.investing.com/news/commodities-news/vietnam-plans-new-penalties-for-illegal-transshipments-after-trump-deal-documents-show-4129239</t>
  </si>
  <si>
    <t>Vietnam tightens transshipment enforcement</t>
  </si>
  <si>
    <t>Trump tariffs and transshipment penalty threat</t>
  </si>
  <si>
    <t>Vietnam prepared stronger penalties and inspections to satisfy US concerns while restructuring domestic trade enforcement.</t>
  </si>
  <si>
    <t>stricter penalties to crack down on trade fraud and...illegal transshipment</t>
  </si>
  <si>
    <t>The United States ultimately set Vietnam's reciprocal tariff at 20% and retained a 40% rate for goods deemed transshipped to evade duties; enforcement concerns therefore remained central.</t>
  </si>
  <si>
    <t>https://www.whitehouse.gov/presidential-actions/2025/07/further-modifying-the-reciprocal-tariff-rates/</t>
  </si>
  <si>
    <t>https://www.investing.com/news/commodities-news/indonesia-to-cut-tariffs-nontariff-barriers-in-us-trade-deal-trump-official-says-4146782</t>
  </si>
  <si>
    <t>Indonesia eliminates tariffs on most US goods</t>
  </si>
  <si>
    <t>Trump reciprocal tariff threat</t>
  </si>
  <si>
    <t>Indonesia agreed to remove tariffs on more than 99% of US goods in exchange for a lower US rate.</t>
  </si>
  <si>
    <t>eliminate tariffs on more than 99% of U.S. goods</t>
  </si>
  <si>
    <t>The framework fixed the US reciprocal tariff on Indonesian goods at 19% while Indonesia undertook sweeping tariff and non-tariff concessions.</t>
  </si>
  <si>
    <t>https://www.investing.com/news/economy-news/philippines-to-pay-19-tariff-trump-says-4146699</t>
  </si>
  <si>
    <t>Philippines opens market to US goods</t>
  </si>
  <si>
    <t>Trump reciprocal tariff</t>
  </si>
  <si>
    <t>Manila agreed to zero/open-market treatment for US goods while facing a 19% US tariff.</t>
  </si>
  <si>
    <t>OPEN MARKET...and ZERO Tariffs</t>
  </si>
  <si>
    <t>The negotiated outcome reduced the announced Philippine tariff from 20% to 19% while Manila offered greater US market access.</t>
  </si>
  <si>
    <t>https://pco.gov.ph/news_releases/pbbm-reduction-to-19-us-tariff-rate-on-ph-exports-after-negotiations-significant/</t>
  </si>
  <si>
    <t>https://www.investing.com/news/commodities-news/factboxkey-facts-on-the-usjapan-tariff-deal-4147138</t>
  </si>
  <si>
    <t>Japan pledges $550bn US investment</t>
  </si>
  <si>
    <t>Trump reciprocal/auto tariffs</t>
  </si>
  <si>
    <t>Japan committed a very large US investment package as part of a tariff settlement.</t>
  </si>
  <si>
    <t>$550 billion of Japanese investments in the United States</t>
  </si>
  <si>
    <t>The agreement set a 15% baseline tariff for Japanese imports, substantially below the threatened rate; formal implementation followed in September, just outside a strict 60-day window depending on date convention.</t>
  </si>
  <si>
    <t>https://www.whitehouse.gov/fact-sheets/2025/07/fact-sheet-president-donald-j-trump-secures-unprecedented-u-s-japan-strategic-trade-and-investment-agreement/</t>
  </si>
  <si>
    <t>https://www.investing.com/news/world-news/trump-will-meet-south-koreas-trade-delegation-seoul-says-4161404</t>
  </si>
  <si>
    <t>South Korea pledges $350bn US investment</t>
  </si>
  <si>
    <t>Threatened 25% Trump tariff</t>
  </si>
  <si>
    <t>Seoul committed major US investment as Washington lowered the threatened tariff rate.</t>
  </si>
  <si>
    <t>agreed to invest $350 billion in the United States</t>
  </si>
  <si>
    <t>The United States lowered the threatened reciprocal and auto tariff rates from 25% to 15% in exchange for the investment package and other commitments.</t>
  </si>
  <si>
    <t>https://www.korea.net/NewsFocus/Business/view?articleId=276234</t>
  </si>
  <si>
    <t>South Korea pledges $100bn US energy purchases</t>
  </si>
  <si>
    <t>Seoul separately committed to purchase US energy products.</t>
  </si>
  <si>
    <t>purchase energy products worth $100 billion</t>
  </si>
  <si>
    <t>The United States lowered the threatened reciprocal and auto tariff rates from 25% to 15% as part of the package including $100bn in US energy purchases.</t>
  </si>
  <si>
    <t>White House</t>
  </si>
  <si>
    <t>https://www.whitehouse.gov/briefings-statements/2025/10/joint-statement-on-a-framework-for-a-united-states-thailand-agreement-on-reciprocal-trade/</t>
  </si>
  <si>
    <t>Thailand removes tariffs on most US goods</t>
  </si>
  <si>
    <t>Thailand agreed to eliminate tariff barriers across approximately 99% of US goods.</t>
  </si>
  <si>
    <t>eliminate tariff barriers on approximately 99% of goods</t>
  </si>
  <si>
    <t>The US-Thailand framework maintained a 19% US reciprocal tariff while Thailand committed to eliminate tariffs on roughly 99% of US goods and expand market access.</t>
  </si>
  <si>
    <t>Thailand aligns export-control and anti-evasion enforcement</t>
  </si>
  <si>
    <t>Trump tariff negotiations / circumvention concerns</t>
  </si>
  <si>
    <t>Thailand committed to export-control, investment-security and anti-duty-evasion cooperation, both conceding US demands and changing domestic enforcement.</t>
  </si>
  <si>
    <t>cooperate on export controls, investment security, and combatting duty evasion</t>
  </si>
  <si>
    <t>The framework embedded Thailand's export-control, investment-security and anti-evasion commitments while the United States maintained the 19% reciprocal tariff, with possible zero-rate treatment for selected products.</t>
  </si>
  <si>
    <t>https://www.investing.com/news/world-news/trump-says-agreed-on-trade-deal-with-india-4479564</t>
  </si>
  <si>
    <t>India lowers trade barriers in tariff deal</t>
  </si>
  <si>
    <t>US tariff including Russia-oil penalty</t>
  </si>
  <si>
    <t>India agreed to lower trade barriers in return for lower US tariffs.</t>
  </si>
  <si>
    <t>lowering trade barriers</t>
  </si>
  <si>
    <t>Within days the United States formalized an 18% reciprocal tariff for India and additional preferential treatment conditional on concluding the interim agreement.</t>
  </si>
  <si>
    <t>https://www.whitehouse.gov/briefings-statements/2026/02/united-states-india-joint-statement/</t>
  </si>
  <si>
    <t>India agrees to halt Russian oil purchases</t>
  </si>
  <si>
    <t>US punitive tariff tied to Russian oil</t>
  </si>
  <si>
    <t>India agreed to change energy sourcing in direct response to a US tariff penalty, combining concession and domestic sourcing adjustment.</t>
  </si>
  <si>
    <t>Russian oil purchases</t>
  </si>
  <si>
    <t>The United States removed the additional 25% Russia-oil-related tariff in recognition of India's commitment to stop purchasing Russian oil.</t>
  </si>
  <si>
    <t>https://www.whitehouse.gov/fact-sheets/2026/02/fact-sheet-the-united-states-and-india-announce-historic-trade-deal/</t>
  </si>
  <si>
    <t>Indonesia Coordinating Ministry for Economic Affairs</t>
  </si>
  <si>
    <t>https://www.ekon.go.id/publikasi/detail/6857/pemerintah-indonesia-antisipasi-investigasi-dari-ustr-dengan-persiapkan-argumentasi-dan-bukti-kuat</t>
  </si>
  <si>
    <t>Indonesia prepares defence against USTR overcapacity investigation</t>
  </si>
  <si>
    <t>US Section 301 structural excess-capacity investigation</t>
  </si>
  <si>
    <t>Jakarta prepared evidence and arguments to contest or answer the US investigation.</t>
  </si>
  <si>
    <t>argumentasi dan bukti kuat</t>
  </si>
  <si>
    <t>The Section 301 investigation remained open through the two-month window, moving into written comments and May public hearings; no determination or tariff relief had yet been issued.</t>
  </si>
  <si>
    <t>https://ustr.gov/trade-topics/enforcement/section-301-investigations/section-301-structural-excess-capacity-and-production-manufacturing-sectors</t>
  </si>
  <si>
    <t>Korean MOTIR</t>
  </si>
  <si>
    <t>https://english.motir.go.kr/eng/article/EATCLdfa319ada/2546/view</t>
  </si>
  <si>
    <t>South Korea launches Section 301 task force</t>
  </si>
  <si>
    <t>Seoul created a domestic public-private mechanism to coordinate responses to US tariff and non-tariff risks.</t>
  </si>
  <si>
    <t>public-private joint task force on U.S. Section 301 matters</t>
  </si>
  <si>
    <t>The Section 301 investigation remained open through the two-month window, moving into written comments and May public hearings; no determination had yet been issued.</t>
  </si>
  <si>
    <t>3As responses to US trade policy — event dataset</t>
  </si>
  <si>
    <t>Metric</t>
  </si>
  <si>
    <t>Count</t>
  </si>
  <si>
    <t>Period</t>
  </si>
  <si>
    <t>Events</t>
  </si>
  <si>
    <t>Any 3A</t>
  </si>
  <si>
    <t>OTHER</t>
  </si>
  <si>
    <t>2010–2016</t>
  </si>
  <si>
    <t>Acquiescence</t>
  </si>
  <si>
    <t>2017–2021</t>
  </si>
  <si>
    <t>Adaptation</t>
  </si>
  <si>
    <t>2022–2024</t>
  </si>
  <si>
    <t>Aggregation</t>
  </si>
  <si>
    <t>2025–2026</t>
  </si>
  <si>
    <t>OTHER types</t>
  </si>
  <si>
    <t>Source concentration (&gt;3 events)</t>
  </si>
  <si>
    <t>Item</t>
  </si>
  <si>
    <t>Rule / note</t>
  </si>
  <si>
    <t>Scope</t>
  </si>
  <si>
    <t>ASEAN member states plus Japan, South Korea, India and Australia; January 2010 to 2026-10-04.</t>
  </si>
  <si>
    <t>Visible concession on the specific axis of a named US contention, without public retaliation/pushback on that axis.</t>
  </si>
  <si>
    <t>Domestic restructuring for resilience, not aimed directly at the US and not coordinated with other states.</t>
  </si>
  <si>
    <t>Joint/plural coalition-building among non-US states framed as an alternative, complement or hedge to US-anchored arrangements.</t>
  </si>
  <si>
    <t>Observed response outside the 3As (e.g. retaliation, WTO challenge, refusal, diplomatic protest). OTHER is substantive, not uncertainty.</t>
  </si>
  <si>
    <t>Multiple coding</t>
  </si>
  <si>
    <t>An event may receive multiple positive binary codes when the action genuinely carries multiple messages.</t>
  </si>
  <si>
    <t>Confidence</t>
  </si>
  <si>
    <t>Confidence concerns evidence/classification quality; it is not a residual category.</t>
  </si>
  <si>
    <t>Event construction</t>
  </si>
  <si>
    <t>Substantively distinct actions within a single policy package are split; sequences such as challenge → compliance remain separate dated events.</t>
  </si>
  <si>
    <t>Source rule</t>
  </si>
  <si>
    <t>Every row contains a verifiable plain-text source URL. Official sources are used where contemporaneous news reporting is thin.</t>
  </si>
  <si>
    <t>Caution</t>
  </si>
  <si>
    <t>This is a fresh rebuild, not a splice of the earlier 42-row list. Search leads were stopped rather than padded with weak cases.</t>
  </si>
  <si>
    <t>Interim results coding (added 2026-10-05)</t>
  </si>
  <si>
    <t>Window</t>
  </si>
  <si>
    <t>Normally up to 60 days after the dated Asian response. The field records an observable interim disposition, not a claim about ultimate causal success.</t>
  </si>
  <si>
    <t>The US withdraws, lowers, suspends, exempts, or declines the challenged/ threatened action in a way favorable to the responding Third Nation.</t>
  </si>
  <si>
    <t>Both sides make material moves; US relief is paired with significant Third-Nation concessions or the original US position remains partly intact.</t>
  </si>
  <si>
    <t>The US measure or demand remains materially in place through the window; the response does not obtain clear near-term relief.</t>
  </si>
  <si>
    <t>The US intensifies the dispute or moves to a stronger enforcement/legal step after the response.</t>
  </si>
  <si>
    <t>The response produces or enters an implementation, negotiation, or monitoring phase without a clean US give-way/double-down outcome within the window.</t>
  </si>
  <si>
    <t>No sufficiently attributable US disposition was found within the window; especially common for Aggregation or long-gestation institutional actions.</t>
  </si>
  <si>
    <t>Source caution</t>
  </si>
  <si>
    <t>Interim_result_source_URL records the principal source supporting the interim result. Absence of a US reaction is coded conservatively; the variable should not yet be read as a causal treatment-effect estimate.</t>
  </si>
  <si>
    <t>Annual Observations tab</t>
  </si>
  <si>
    <t>Annual category counts are formula-driven from Events. Pairwise columns are intersections: an event is counted only when both named category indicators equal 1. Counts are descriptive of the current exploratory event sample and should not be interpreted as shock-conditioned response rates or causal effects.</t>
  </si>
  <si>
    <t>Month</t>
  </si>
  <si>
    <t>Total events</t>
  </si>
  <si>
    <t>Significant events / context</t>
  </si>
  <si>
    <t>KORUS supplemental agreement announced (US–South Korea auto/trade concessions).</t>
  </si>
  <si>
    <t>TPP negotiations concluded among 12 economies, including the United States.</t>
  </si>
  <si>
    <t>TPP agreement signed by 12 members.</t>
  </si>
  <si>
    <t>Trump I begins; United States withdraws from TPP (23 Jan).</t>
  </si>
  <si>
    <t>CPTPP signed by 11 countries without the United States (8 Mar); US Section 232 steel/aluminium tariffs take effect.</t>
  </si>
  <si>
    <t>US–China tariff escalation begins with Section 301 tariffs on major Chinese imports.</t>
  </si>
  <si>
    <t>RCEP signed by 15 Asia-Pacific economies (15 Nov).</t>
  </si>
  <si>
    <t>Biden presidency begins.</t>
  </si>
  <si>
    <t>Biden administration announces major semiconductor/export-control restrictions on China (7 Oct).</t>
  </si>
  <si>
    <t>US and India announce resolution of several WTO disputes; India agrees to remove retaliatory Section 232 tariffs.</t>
  </si>
  <si>
    <t>Trump II begins.</t>
  </si>
  <si>
    <t>Trump announces 'Liberation Day' reciprocal tariffs (2 Apr); Asian governments begin intensive tariff negotiations and resilience responses.</t>
  </si>
  <si>
    <t>Major wave of bilateral US tariff bargains with Asian economies; transshipment/circumvention scrutiny intensifies.</t>
  </si>
  <si>
    <t>US reciprocal-trade frameworks with Thailand and other Southeast Asian partners deepen market-access and enforcement commitments.</t>
  </si>
  <si>
    <t>US–India trade understanding reported, including lower tariffs and Indian concessions.</t>
  </si>
  <si>
    <t>USTR Section 301 structural excess-capacity investigations prompt new Asian government responses.</t>
  </si>
  <si>
    <t>Note</t>
  </si>
  <si>
    <t>Category columns count positive codes, so one event may contribute to multiple category series. Significant-event annotations are contextual markers and are not additional observations in Events.</t>
  </si>
  <si>
    <t>Acquiescence events</t>
  </si>
  <si>
    <t>Adaptation events</t>
  </si>
  <si>
    <t>Aggregation events</t>
  </si>
  <si>
    <t>Other events</t>
  </si>
  <si>
    <t>Acquiescence-Adaptation combined events</t>
  </si>
  <si>
    <t>Acquiescence-Aggregation events</t>
  </si>
  <si>
    <t>Acquiescence-Other events</t>
  </si>
  <si>
    <t>Adaptation-Aggregation events</t>
  </si>
  <si>
    <t>Adaptation-Other events</t>
  </si>
  <si>
    <t>Aggregation-Other events</t>
  </si>
  <si>
    <t>Year highlights</t>
  </si>
  <si>
    <t>Vietnam challenged US shrimp anti-dumping measures; South Korea made KORUS auto concessions late in the year.</t>
  </si>
  <si>
    <t>A single recorded response: Japan began reviewing restrictions on US beef after sustained US pressure.</t>
  </si>
  <si>
    <t>A single recorded response: Vietnam launched another WTO challenge to US shrimp duties.</t>
  </si>
  <si>
    <t>A broader acquiescence cluster: Japan made several TPP-entry concessions and India relaxed electronics local-purchase rules; Indonesia maintained contested import restrictions.</t>
  </si>
  <si>
    <t>Recorded activity is concentrated in the Philippines, with IP and agricultural market-access concessions.</t>
  </si>
  <si>
    <t>India committed to implement the adverse poultry ruling; Philippine reforms led the US to close its GSP worker-rights review.</t>
  </si>
  <si>
    <t>Pre-TPP implementation and WTO disputes dominate: Malaysia and Vietnam undertook TPP-related reforms while India both contested solar rules and implemented poultry changes.</t>
  </si>
  <si>
    <t>Only one recorded event: Japan initially rejected proceeding with TPP without the United States.</t>
  </si>
  <si>
    <t>Trump-era activity broadens: CPTPP proceeds without the US and Japan-EU deepen trade ties, while South Korea and Australia negotiate or contest US trade measures.</t>
  </si>
  <si>
    <t>Only one recorded event: India retaliated against US Section 232 tariffs.</t>
  </si>
  <si>
    <t>Indonesia made several GSP-related concessions; RCEP signing supplies the principal aggregation event.</t>
  </si>
  <si>
    <t>Recorded responses are concentrated in Vietnam, with currency and timber commitments resolving or managing US Section 301 concerns.</t>
  </si>
  <si>
    <t>No events are recorded in this exploratory sample.</t>
  </si>
  <si>
    <t>India removed retaliatory Section 232 tariffs and Japan adopted semiconductor-equipment export controls.</t>
  </si>
  <si>
    <t>By far the largest cluster: Trump tariff pressure elicits widespread bilateral acquiescence, domestic resilience measures, and a simultaneous burst of ASEAN and other non-US aggregation.</t>
  </si>
  <si>
    <t>Early-year sample combines India tariff concessions, South Korean domestic adaptation, and Indonesian contestation of a USTR investigation.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</si>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</sst>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\ yyyy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666666"/>
      <name val="Calibri"/>
      <family val="2"/>
    </font>
    <font>
      <u/>
      <sz val="11"/>
      <color rgb="FF008000"/>
      <name val="Calibri"/>
      <family val="2"/>
    </font>
    <font>
      <b/>
      <sz val="16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1F4E78"/>
      <name val="Calibri"/>
      <family val="2"/>
    </font>
    <font>
      <sz val="12"/>
      <color theme="1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5" fillId="0" borderId="0" xfId="0" applyFont="1"/>
    <xf numFmtId="0" fontId="1" fillId="4" borderId="0" xfId="0" applyFont="1" applyFill="1" applyAlignment="1">
      <alignment horizontal="center" vertical="center" wrapText="1"/>
    </xf>
    <xf numFmtId="165" fontId="2" fillId="0" borderId="0" xfId="0" applyNumberFormat="1" applyFont="1"/>
    <xf numFmtId="0" fontId="6" fillId="0" borderId="0" xfId="0" applyFont="1" applyAlignment="1">
      <alignment horizontal="center"/>
    </xf>
    <xf numFmtId="0" fontId="2" fillId="3" borderId="0" xfId="0" applyFont="1" applyFill="1" applyAlignment="1">
      <alignment vertical="top" wrapText="1"/>
    </xf>
    <xf numFmtId="0" fontId="7" fillId="0" borderId="0" xfId="0" applyFont="1"/>
    <xf numFmtId="0" fontId="8" fillId="0" borderId="0" xfId="1" applyAlignment="1">
      <alignment vertical="top" wrapText="1"/>
    </xf>
    <xf numFmtId="0" fontId="9" fillId="0" borderId="0" xfId="0" applyFont="1"/>
    <xf numFmtId="0" fontId="2" fillId="0" borderId="0" xfId="0" applyFont="1"/>
    <xf numFmtId="0" fontId="4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vesting.com/news/economy-news/philippines-to-pay-19-tariff-trump-says-4146699" TargetMode="External"/><Relationship Id="rId21" Type="http://schemas.openxmlformats.org/officeDocument/2006/relationships/hyperlink" Target="https://ustr.gov/about-us/policy-offices/press-office/press-releases/2014/April/US-Removes-the-Philippines-from-the-Special-301-Watch-List" TargetMode="External"/><Relationship Id="rId42" Type="http://schemas.openxmlformats.org/officeDocument/2006/relationships/hyperlink" Target="https://ustr.gov/trade-agreements/free-trade-agreements/trans-pacific-partnership/tpp-full-text" TargetMode="External"/><Relationship Id="rId63" Type="http://schemas.openxmlformats.org/officeDocument/2006/relationships/hyperlink" Target="https://www.ustr.gov/about-us/policy-offices/press-office/press-releases/2020/october/ustr-announces-gsp-enforcement-action-country-successes-and-new-eligibility-reviews" TargetMode="External"/><Relationship Id="rId84" Type="http://schemas.openxmlformats.org/officeDocument/2006/relationships/hyperlink" Target="https://www.whitehouse.gov/presidential-actions/2025/04/modifying-reciprocal-tariff-rates-to-reflect-trading-partner-retaliation-and-alignment/" TargetMode="External"/><Relationship Id="rId16" Type="http://schemas.openxmlformats.org/officeDocument/2006/relationships/hyperlink" Target="https://ustr.gov/about-us/policy-offices/press-office/press-releases/2013/april/congressional-notification-japan-tpp" TargetMode="External"/><Relationship Id="rId107" Type="http://schemas.openxmlformats.org/officeDocument/2006/relationships/hyperlink" Target="https://asean.org/joint-declaration-on-economic-cooperation-between-the-association-of-the-southeast-asian-nations-asean-and-the-gulf-cooperation-council-gcc/" TargetMode="External"/><Relationship Id="rId11" Type="http://schemas.openxmlformats.org/officeDocument/2006/relationships/hyperlink" Target="https://ustr.gov/about-us/policy-offices/press-office/fact-sheets/2013/april/US-consultations-Japan" TargetMode="External"/><Relationship Id="rId32" Type="http://schemas.openxmlformats.org/officeDocument/2006/relationships/hyperlink" Target="https://www.wto.org/english/news_e/news16_e/dsb_19jul16_e.htm" TargetMode="External"/><Relationship Id="rId37" Type="http://schemas.openxmlformats.org/officeDocument/2006/relationships/hyperlink" Target="https://www.usitc.gov/publications/332/otap2016.html" TargetMode="External"/><Relationship Id="rId53" Type="http://schemas.openxmlformats.org/officeDocument/2006/relationships/hyperlink" Target="https://trumpwhitehouse.archives.gov/briefings-statements/president-donald-j-trump-fulfilling-promise-united-states-korea-free-trade-agreement-national-security/" TargetMode="External"/><Relationship Id="rId58" Type="http://schemas.openxmlformats.org/officeDocument/2006/relationships/hyperlink" Target="https://ustr.gov/countries-regions/south-central-asia/india" TargetMode="External"/><Relationship Id="rId74" Type="http://schemas.openxmlformats.org/officeDocument/2006/relationships/hyperlink" Target="https://ustr.gov/about-us/policy-offices/press-office/press-releases/2023/june/united-states-announces-major-resolution-key-trade-issues-india" TargetMode="External"/><Relationship Id="rId79" Type="http://schemas.openxmlformats.org/officeDocument/2006/relationships/hyperlink" Target="https://theprint.in/india/india-offers-us-tariff-cuts-on-farm-imports-eyes-trade-success-government-sources-say/2568891/" TargetMode="External"/><Relationship Id="rId102" Type="http://schemas.openxmlformats.org/officeDocument/2006/relationships/hyperlink" Target="https://ustr.gov/about-us/policy-offices/press-office/press-releases/2025/june/ustr-greer-meets-indian-commerce-and-industry-minister-goyal" TargetMode="External"/><Relationship Id="rId123" Type="http://schemas.openxmlformats.org/officeDocument/2006/relationships/hyperlink" Target="https://www.investing.com/news/world-news/trump-will-meet-south-koreas-trade-delegation-seoul-says-4161404" TargetMode="External"/><Relationship Id="rId128" Type="http://schemas.openxmlformats.org/officeDocument/2006/relationships/hyperlink" Target="https://www.whitehouse.gov/briefings-statements/2025/10/joint-statement-on-a-framework-for-a-united-states-thailand-agreement-on-reciprocal-trade/" TargetMode="External"/><Relationship Id="rId5" Type="http://schemas.openxmlformats.org/officeDocument/2006/relationships/hyperlink" Target="https://2009-2017.state.gov/e/eb/rls/rm/2011/166630.htm" TargetMode="External"/><Relationship Id="rId90" Type="http://schemas.openxmlformats.org/officeDocument/2006/relationships/hyperlink" Target="https://en.yna.co.kr/view/AEN20250520002000320" TargetMode="External"/><Relationship Id="rId95" Type="http://schemas.openxmlformats.org/officeDocument/2006/relationships/hyperlink" Target="https://www.mti.gov.sg/newsroom/singapore-economic-resilience-taskforce--sert--to-support-businesses-and-workers/" TargetMode="External"/><Relationship Id="rId22" Type="http://schemas.openxmlformats.org/officeDocument/2006/relationships/hyperlink" Target="https://ustr.gov/about-us/policy-offices/press-office/press-releases/2014/April/US-Removes-the-Philippines-from-the-Special-301-Watch-List" TargetMode="External"/><Relationship Id="rId27" Type="http://schemas.openxmlformats.org/officeDocument/2006/relationships/hyperlink" Target="https://ustr.gov/about-us/policy-offices/press-office/press-releases/2015/november/ustr-uses-trade-preference" TargetMode="External"/><Relationship Id="rId43" Type="http://schemas.openxmlformats.org/officeDocument/2006/relationships/hyperlink" Target="https://www.japantimes.co.jp/news/2017/01/24/national/politics-diplomacy/tokyo-turns-down-australian-proposal-tpp-without-u-s-vows-keep-pushing-trump/" TargetMode="External"/><Relationship Id="rId48" Type="http://schemas.openxmlformats.org/officeDocument/2006/relationships/hyperlink" Target="https://www.wto.org/english/tratop_e/dispu_e/cases_e/ds546_e.htm" TargetMode="External"/><Relationship Id="rId64" Type="http://schemas.openxmlformats.org/officeDocument/2006/relationships/hyperlink" Target="https://www.ustr.gov/about-us/policy-offices/press-office/press-releases/2020/october/ustr-announces-gsp-enforcement-action-country-successes-and-new-eligibility-reviews" TargetMode="External"/><Relationship Id="rId69" Type="http://schemas.openxmlformats.org/officeDocument/2006/relationships/hyperlink" Target="https://ustr.gov/about-us/policy-offices/press-office/press-releases/2021/july/ambassador-katherine-tai-commends-treasury-department-and-state-bank-vietnam-reaching-agreement" TargetMode="External"/><Relationship Id="rId113" Type="http://schemas.openxmlformats.org/officeDocument/2006/relationships/hyperlink" Target="https://www.investing.com/news/commodities-news/vietnam-plans-new-penalties-for-illegal-transshipments-after-trump-deal-documents-show-4129239" TargetMode="External"/><Relationship Id="rId118" Type="http://schemas.openxmlformats.org/officeDocument/2006/relationships/hyperlink" Target="https://pco.gov.ph/news_releases/pbbm-reduction-to-19-us-tariff-rate-on-ph-exports-after-negotiations-significant/" TargetMode="External"/><Relationship Id="rId134" Type="http://schemas.openxmlformats.org/officeDocument/2006/relationships/hyperlink" Target="https://ustr.gov/trade-topics/enforcement/section-301-investigations/section-301-structural-excess-capacity-and-production-manufacturing-sectors" TargetMode="External"/><Relationship Id="rId80" Type="http://schemas.openxmlformats.org/officeDocument/2006/relationships/hyperlink" Target="https://www.whitehouse.gov/presidential-actions/2025/04/regulating-imports-with-a-reciprocal-tariff-to-rectify-trade-practices-that-contribute-to-large-and-persistent-annual-united-states-goods-trade-deficits/" TargetMode="External"/><Relationship Id="rId85" Type="http://schemas.openxmlformats.org/officeDocument/2006/relationships/hyperlink" Target="https://www.investing.com/news/economy-news/thailand-to-increase-us-imports-lower-taxes-in-tariff-response-3973145" TargetMode="External"/><Relationship Id="rId12" Type="http://schemas.openxmlformats.org/officeDocument/2006/relationships/hyperlink" Target="https://ustr.gov/about-us/policy-offices/press-office/press-releases/2013/april/congressional-notification-japan-tpp" TargetMode="External"/><Relationship Id="rId17" Type="http://schemas.openxmlformats.org/officeDocument/2006/relationships/hyperlink" Target="https://ustr.gov/about-us/policy-offices/press-office/press-releases/2013/july/readout-froman-sharma" TargetMode="External"/><Relationship Id="rId33" Type="http://schemas.openxmlformats.org/officeDocument/2006/relationships/hyperlink" Target="https://www.wto.org/english/tratop_e/dispu_e/cases_e/ds430_e.htm" TargetMode="External"/><Relationship Id="rId38" Type="http://schemas.openxmlformats.org/officeDocument/2006/relationships/hyperlink" Target="https://www.wto.org/english/tratop_e/dispu_e/cases_e/ds456_e.htm" TargetMode="External"/><Relationship Id="rId59" Type="http://schemas.openxmlformats.org/officeDocument/2006/relationships/hyperlink" Target="https://www.ustr.gov/about-us/policy-offices/press-office/press-releases/2020/october/ustr-announces-gsp-enforcement-action-country-successes-and-new-eligibility-reviews" TargetMode="External"/><Relationship Id="rId103" Type="http://schemas.openxmlformats.org/officeDocument/2006/relationships/hyperlink" Target="https://asean.org/asean-leaders-statement-on-responding-to-global-economic-and-trade-uncertainties/" TargetMode="External"/><Relationship Id="rId108" Type="http://schemas.openxmlformats.org/officeDocument/2006/relationships/hyperlink" Target="https://asean.org/joint-declaration-on-economic-cooperation-between-the-association-of-the-southeast-asian-nations-asean-and-the-gulf-cooperation-council-gcc/" TargetMode="External"/><Relationship Id="rId124" Type="http://schemas.openxmlformats.org/officeDocument/2006/relationships/hyperlink" Target="https://www.korea.net/NewsFocus/Business/view?articleId=276234" TargetMode="External"/><Relationship Id="rId129" Type="http://schemas.openxmlformats.org/officeDocument/2006/relationships/hyperlink" Target="https://www.investing.com/news/world-news/trump-says-agreed-on-trade-deal-with-india-4479564" TargetMode="External"/><Relationship Id="rId54" Type="http://schemas.openxmlformats.org/officeDocument/2006/relationships/hyperlink" Target="https://ustr.gov/about-us/policy-offices/press-office/fact-sheets/2018/march/new-us-trade-policy-and-national" TargetMode="External"/><Relationship Id="rId70" Type="http://schemas.openxmlformats.org/officeDocument/2006/relationships/hyperlink" Target="https://ustr.gov/about-us/policy-offices/press-office/press-releases/2021/july/ustr-releases-determination-action-and-ongoing-monitoring-following-us-vietnam-agreement-vietnams" TargetMode="External"/><Relationship Id="rId75" Type="http://schemas.openxmlformats.org/officeDocument/2006/relationships/hyperlink" Target="https://www.meti.go.jp/english/speeches/press_conferences/2023/0331001.html" TargetMode="External"/><Relationship Id="rId91" Type="http://schemas.openxmlformats.org/officeDocument/2006/relationships/hyperlink" Target="https://asean.org/joint-statement-of-the-asean-economic-ministers-on-the-introduction-of-unilateral-tariffs-of-the-united-states/" TargetMode="External"/><Relationship Id="rId96" Type="http://schemas.openxmlformats.org/officeDocument/2006/relationships/hyperlink" Target="https://www.mti.gov.sg/newsroom/singapore-economic-resilience-taskforce--sert--to-support-businesses-and-workers/" TargetMode="External"/><Relationship Id="rId1" Type="http://schemas.openxmlformats.org/officeDocument/2006/relationships/hyperlink" Target="https://www.wto.org/english/tratop_e/dispu_e/cases_e/ds404_e.htm" TargetMode="External"/><Relationship Id="rId6" Type="http://schemas.openxmlformats.org/officeDocument/2006/relationships/hyperlink" Target="https://2009-2017.state.gov/e/eb/rls/rm/2011/166630.htm" TargetMode="External"/><Relationship Id="rId23" Type="http://schemas.openxmlformats.org/officeDocument/2006/relationships/hyperlink" Target="https://obamawhitehouse.archives.gov/the-press-office/2014/04/28/fact-sheet-united-states-philippines-bilateral-relations" TargetMode="External"/><Relationship Id="rId28" Type="http://schemas.openxmlformats.org/officeDocument/2006/relationships/hyperlink" Target="https://ustr.gov/about-us/policy-offices/press-office/press-releases/2015/november/ustr-uses-trade-preference" TargetMode="External"/><Relationship Id="rId49" Type="http://schemas.openxmlformats.org/officeDocument/2006/relationships/hyperlink" Target="https://www.abc.net.au/news/2018-03-10/malcolm-turnbull-donald-trump-working-tariff-exemption-agreement/9534984" TargetMode="External"/><Relationship Id="rId114" Type="http://schemas.openxmlformats.org/officeDocument/2006/relationships/hyperlink" Target="https://www.whitehouse.gov/presidential-actions/2025/07/further-modifying-the-reciprocal-tariff-rates/" TargetMode="External"/><Relationship Id="rId119" Type="http://schemas.openxmlformats.org/officeDocument/2006/relationships/hyperlink" Target="https://www.investing.com/news/commodities-news/factboxkey-facts-on-the-usjapan-tariff-deal-4147138" TargetMode="External"/><Relationship Id="rId44" Type="http://schemas.openxmlformats.org/officeDocument/2006/relationships/hyperlink" Target="https://www.mofa.go.jp/ecm/ep/page25e_000266.html" TargetMode="External"/><Relationship Id="rId60" Type="http://schemas.openxmlformats.org/officeDocument/2006/relationships/hyperlink" Target="https://www.ustr.gov/about-us/policy-offices/press-office/press-releases/2020/october/ustr-announces-gsp-enforcement-action-country-successes-and-new-eligibility-reviews" TargetMode="External"/><Relationship Id="rId65" Type="http://schemas.openxmlformats.org/officeDocument/2006/relationships/hyperlink" Target="https://asean.org/joint-leaders-statement-on-the-regional-comprehensive-economic-partnership-rcep-3/" TargetMode="External"/><Relationship Id="rId81" Type="http://schemas.openxmlformats.org/officeDocument/2006/relationships/hyperlink" Target="https://www.investing.com/news/world-news/australia-says-us-tariffs-not-act-of-a-friend-but-rules-out-reciprocal-move-3964018" TargetMode="External"/><Relationship Id="rId86" Type="http://schemas.openxmlformats.org/officeDocument/2006/relationships/hyperlink" Target="https://www.whitehouse.gov/presidential-actions/2025/04/modifying-reciprocal-tariff-rates-to-reflect-trading-partner-retaliation-and-alignment/" TargetMode="External"/><Relationship Id="rId130" Type="http://schemas.openxmlformats.org/officeDocument/2006/relationships/hyperlink" Target="https://www.whitehouse.gov/briefings-statements/2026/02/united-states-india-joint-statement/" TargetMode="External"/><Relationship Id="rId135" Type="http://schemas.openxmlformats.org/officeDocument/2006/relationships/hyperlink" Target="https://english.motir.go.kr/eng/article/EATCLdfa319ada/2546/view" TargetMode="External"/><Relationship Id="rId13" Type="http://schemas.openxmlformats.org/officeDocument/2006/relationships/hyperlink" Target="https://ustr.gov/about-us/policy-offices/press-office/fact-sheets/2013/april/US-consultations-Japan" TargetMode="External"/><Relationship Id="rId18" Type="http://schemas.openxmlformats.org/officeDocument/2006/relationships/hyperlink" Target="https://ustr.gov/about-us/policy-offices/press-office/press-releases/2013/july/readout-froman-sharma" TargetMode="External"/><Relationship Id="rId39" Type="http://schemas.openxmlformats.org/officeDocument/2006/relationships/hyperlink" Target="https://www.miti.gov.my/index.php/pages/view/3150" TargetMode="External"/><Relationship Id="rId109" Type="http://schemas.openxmlformats.org/officeDocument/2006/relationships/hyperlink" Target="https://asean.org/joint-statement-of-the-association-of-southeast-asian-nations-asean-the-cooperation-council-for-the-arab-states-of-the-gulf-gcc-and-the-peoples-republic-of-china-asean-gcc-china-summit/" TargetMode="External"/><Relationship Id="rId34" Type="http://schemas.openxmlformats.org/officeDocument/2006/relationships/hyperlink" Target="https://www.wto.org/english/tratop_e/dispu_e/cases_e/ds430_e.htm" TargetMode="External"/><Relationship Id="rId50" Type="http://schemas.openxmlformats.org/officeDocument/2006/relationships/hyperlink" Target="https://trumpwhitehouse.archives.gov/presidential-actions/presidential-proclamation-adjusting-imports-steel-united-states-3/" TargetMode="External"/><Relationship Id="rId55" Type="http://schemas.openxmlformats.org/officeDocument/2006/relationships/hyperlink" Target="https://www.business-standard.com/article/reuters/japan-eu-sign-free-trade-pact-amid-worries-about-trump-policies-118071700702_1.html" TargetMode="External"/><Relationship Id="rId76" Type="http://schemas.openxmlformats.org/officeDocument/2006/relationships/hyperlink" Target="https://www.meti.go.jp/english/press/2023/0331_001.html" TargetMode="External"/><Relationship Id="rId97" Type="http://schemas.openxmlformats.org/officeDocument/2006/relationships/hyperlink" Target="https://www.investing.com/news/economy-news/japan-decides-on-economic-package-to-help-ease-tariff-pain-pm-ishiba-says-4003684" TargetMode="External"/><Relationship Id="rId104" Type="http://schemas.openxmlformats.org/officeDocument/2006/relationships/hyperlink" Target="https://asean.org/asean-leaders-statement-on-responding-to-global-economic-and-trade-uncertainties/" TargetMode="External"/><Relationship Id="rId120" Type="http://schemas.openxmlformats.org/officeDocument/2006/relationships/hyperlink" Target="https://www.whitehouse.gov/fact-sheets/2025/07/fact-sheet-president-donald-j-trump-secures-unprecedented-u-s-japan-strategic-trade-and-investment-agreement/" TargetMode="External"/><Relationship Id="rId125" Type="http://schemas.openxmlformats.org/officeDocument/2006/relationships/hyperlink" Target="https://www.whitehouse.gov/briefings-statements/2025/10/joint-statement-on-a-framework-for-a-united-states-thailand-agreement-on-reciprocal-trade/" TargetMode="External"/><Relationship Id="rId7" Type="http://schemas.openxmlformats.org/officeDocument/2006/relationships/hyperlink" Target="https://www.ustr.gov/about-us/policy-offices/press-office/press-releases/2011/december/us-trade-representative-ron-kirk-japanese-ministe" TargetMode="External"/><Relationship Id="rId71" Type="http://schemas.openxmlformats.org/officeDocument/2006/relationships/hyperlink" Target="https://ustr.gov/about-us/policy-offices/press-office/press-releases/2021/october/ustr-announces-agreement-between-united-states-and-vietnam-resolve-timber-section-301-investigation" TargetMode="External"/><Relationship Id="rId92" Type="http://schemas.openxmlformats.org/officeDocument/2006/relationships/hyperlink" Target="https://asean.org/joint-statement-of-the-asean-economic-ministers-on-the-introduction-of-unilateral-tariffs-of-the-united-states/" TargetMode="External"/><Relationship Id="rId2" Type="http://schemas.openxmlformats.org/officeDocument/2006/relationships/hyperlink" Target="https://www.wto.org/english/tratop_e/dispu_e/cases_e/ds404_e.htm" TargetMode="External"/><Relationship Id="rId29" Type="http://schemas.openxmlformats.org/officeDocument/2006/relationships/hyperlink" Target="https://ustr.gov/about-us/policy-offices/press-office/press-releases/2016/april/united-states-and-thailand-reaffirm" TargetMode="External"/><Relationship Id="rId24" Type="http://schemas.openxmlformats.org/officeDocument/2006/relationships/hyperlink" Target="https://obamawhitehouse.archives.gov/the-press-office/2014/04/28/fact-sheet-united-states-philippines-bilateral-relations" TargetMode="External"/><Relationship Id="rId40" Type="http://schemas.openxmlformats.org/officeDocument/2006/relationships/hyperlink" Target="https://ustr.gov/about-us/policy-offices/press-office/press-releases/2016/February/TPP-Ministers-Statement" TargetMode="External"/><Relationship Id="rId45" Type="http://schemas.openxmlformats.org/officeDocument/2006/relationships/hyperlink" Target="https://www.investing.com/news/economy-news/tpp11-members-to-sign-transpacific-trade-pact-in-march-kyodo-1137578" TargetMode="External"/><Relationship Id="rId66" Type="http://schemas.openxmlformats.org/officeDocument/2006/relationships/hyperlink" Target="https://rcepsec.org/legal-text/" TargetMode="External"/><Relationship Id="rId87" Type="http://schemas.openxmlformats.org/officeDocument/2006/relationships/hyperlink" Target="https://www.edb.gov.sg/en/business-insights/insights/trump-tariffs-singapore-to-form-task-force-to-help-businesses-and-workers-says-pm-wong.html" TargetMode="External"/><Relationship Id="rId110" Type="http://schemas.openxmlformats.org/officeDocument/2006/relationships/hyperlink" Target="https://gccsg.org/en/MediaCenter/News/Pages/news2025-5-28-1.aspx" TargetMode="External"/><Relationship Id="rId115" Type="http://schemas.openxmlformats.org/officeDocument/2006/relationships/hyperlink" Target="https://www.investing.com/news/commodities-news/indonesia-to-cut-tariffs-nontariff-barriers-in-us-trade-deal-trump-official-says-4146782" TargetMode="External"/><Relationship Id="rId131" Type="http://schemas.openxmlformats.org/officeDocument/2006/relationships/hyperlink" Target="https://www.investing.com/news/world-news/trump-says-agreed-on-trade-deal-with-india-4479564" TargetMode="External"/><Relationship Id="rId136" Type="http://schemas.openxmlformats.org/officeDocument/2006/relationships/hyperlink" Target="https://ustr.gov/trade-topics/enforcement/section-301-investigations/section-301-structural-excess-capacity-and-production-manufacturing-sectors" TargetMode="External"/><Relationship Id="rId61" Type="http://schemas.openxmlformats.org/officeDocument/2006/relationships/hyperlink" Target="https://www.ustr.gov/about-us/policy-offices/press-office/press-releases/2020/october/ustr-announces-gsp-enforcement-action-country-successes-and-new-eligibility-reviews" TargetMode="External"/><Relationship Id="rId82" Type="http://schemas.openxmlformats.org/officeDocument/2006/relationships/hyperlink" Target="https://www.dfat.gov.au/news/news/us-tariff-announcements" TargetMode="External"/><Relationship Id="rId19" Type="http://schemas.openxmlformats.org/officeDocument/2006/relationships/hyperlink" Target="https://www.ustr.gov/about-us/policy-offices/press-office/press-releases/2013/march/ustr-kirk-wto-dispute-indonesia" TargetMode="External"/><Relationship Id="rId14" Type="http://schemas.openxmlformats.org/officeDocument/2006/relationships/hyperlink" Target="https://ustr.gov/about-us/policy-offices/press-office/press-releases/2013/april/congressional-notification-japan-tpp" TargetMode="External"/><Relationship Id="rId30" Type="http://schemas.openxmlformats.org/officeDocument/2006/relationships/hyperlink" Target="https://ustr.gov/about-us/policy-offices/press-office/press-releases/2016/april/ustr-releases-special-301-report" TargetMode="External"/><Relationship Id="rId35" Type="http://schemas.openxmlformats.org/officeDocument/2006/relationships/hyperlink" Target="https://www.ustr.gov/about-us/policy-offices/press-office/press-releases/2016/february/united-states-prevails-wto-dispute" TargetMode="External"/><Relationship Id="rId56" Type="http://schemas.openxmlformats.org/officeDocument/2006/relationships/hyperlink" Target="https://ustr.gov/about-us/policy-offices/press-office/press-releases/2018/september/joint-statement-united-states-and-japan" TargetMode="External"/><Relationship Id="rId77" Type="http://schemas.openxmlformats.org/officeDocument/2006/relationships/hyperlink" Target="https://www.investing.com/news/commodities-news/indias-modi-brings-a-tariff-gift-to-trump-talks-3866437" TargetMode="External"/><Relationship Id="rId100" Type="http://schemas.openxmlformats.org/officeDocument/2006/relationships/hyperlink" Target="https://www.gov.uk/government/news/uk-india-trade-deal-concluded" TargetMode="External"/><Relationship Id="rId105" Type="http://schemas.openxmlformats.org/officeDocument/2006/relationships/hyperlink" Target="https://www.investing.com/news/economic-indicators/asean-leaders-agree-tariff-deals-with-us-should-not-harm-members-4065028" TargetMode="External"/><Relationship Id="rId126" Type="http://schemas.openxmlformats.org/officeDocument/2006/relationships/hyperlink" Target="https://www.whitehouse.gov/briefings-statements/2025/10/joint-statement-on-a-framework-for-a-united-states-thailand-agreement-on-reciprocal-trade/" TargetMode="External"/><Relationship Id="rId8" Type="http://schemas.openxmlformats.org/officeDocument/2006/relationships/hyperlink" Target="https://www.ustr.gov/about-us/policy-offices/press-office/press-releases/2011/december/us-trade-representative-ron-kirk-japanese-ministe" TargetMode="External"/><Relationship Id="rId51" Type="http://schemas.openxmlformats.org/officeDocument/2006/relationships/hyperlink" Target="https://www.usitc.gov/publications/332/other/year_in_trade_2018_v3_0.html" TargetMode="External"/><Relationship Id="rId72" Type="http://schemas.openxmlformats.org/officeDocument/2006/relationships/hyperlink" Target="https://ustr.gov/about-us/policy-offices/press-office/press-releases/2021/october/ustr-announces-agreement-between-united-states-and-vietnam-resolve-timber-section-301-investigation" TargetMode="External"/><Relationship Id="rId93" Type="http://schemas.openxmlformats.org/officeDocument/2006/relationships/hyperlink" Target="https://www.investing.com/news/economy-news/thailand-says-to-discuss-tariffs-with-united-states-on-april-21-3982751" TargetMode="External"/><Relationship Id="rId98" Type="http://schemas.openxmlformats.org/officeDocument/2006/relationships/hyperlink" Target="https://japan.kantei.go.jp/103/statement/202505/03kaiken.html" TargetMode="External"/><Relationship Id="rId121" Type="http://schemas.openxmlformats.org/officeDocument/2006/relationships/hyperlink" Target="https://www.investing.com/news/world-news/trump-will-meet-south-koreas-trade-delegation-seoul-says-4161404" TargetMode="External"/><Relationship Id="rId3" Type="http://schemas.openxmlformats.org/officeDocument/2006/relationships/hyperlink" Target="https://2009-2017.state.gov/e/eb/rls/rm/2011/166630.htm" TargetMode="External"/><Relationship Id="rId25" Type="http://schemas.openxmlformats.org/officeDocument/2006/relationships/hyperlink" Target="https://www.wto.org/english/tratop_e/dispu_e/cases_e/ds430_e.htm" TargetMode="External"/><Relationship Id="rId46" Type="http://schemas.openxmlformats.org/officeDocument/2006/relationships/hyperlink" Target="https://geneva-wto.mfa.gov.sg/mission-updates/press-201801230-23-jan-2018/" TargetMode="External"/><Relationship Id="rId67" Type="http://schemas.openxmlformats.org/officeDocument/2006/relationships/hyperlink" Target="https://ustr.gov/about-us/policy-offices/press-office/press-releases/2021/july/ambassador-katherine-tai-commends-treasury-department-and-state-bank-vietnam-reaching-agreement" TargetMode="External"/><Relationship Id="rId116" Type="http://schemas.openxmlformats.org/officeDocument/2006/relationships/hyperlink" Target="https://www.whitehouse.gov/briefings-statements/2025/07/joint-statement-on-framework-for-united-states-indonesia-agreement-on-reciprocal-trade/" TargetMode="External"/><Relationship Id="rId20" Type="http://schemas.openxmlformats.org/officeDocument/2006/relationships/hyperlink" Target="https://ustr.gov/about-us/policy-offices/press-office/press-releases/2013/march/ustr-kirk-wto-dispute-indonesia" TargetMode="External"/><Relationship Id="rId41" Type="http://schemas.openxmlformats.org/officeDocument/2006/relationships/hyperlink" Target="https://ustr.gov/about-us/policy-offices/press-office/fact-sheets/2016/may/fact-sheet-trans-pacific-partnership%E2%80%99s" TargetMode="External"/><Relationship Id="rId62" Type="http://schemas.openxmlformats.org/officeDocument/2006/relationships/hyperlink" Target="https://www.ustr.gov/about-us/policy-offices/press-office/press-releases/2020/october/ustr-announces-gsp-enforcement-action-country-successes-and-new-eligibility-reviews" TargetMode="External"/><Relationship Id="rId83" Type="http://schemas.openxmlformats.org/officeDocument/2006/relationships/hyperlink" Target="https://www.investing.com/news/economy-news/thailand-to-increase-us-imports-lower-taxes-in-tariff-response-3973145" TargetMode="External"/><Relationship Id="rId88" Type="http://schemas.openxmlformats.org/officeDocument/2006/relationships/hyperlink" Target="https://www.mti.gov.sg/newsroom/singapore-economic-resilience-taskforce--sert--to-support-businesses-and-workers/" TargetMode="External"/><Relationship Id="rId111" Type="http://schemas.openxmlformats.org/officeDocument/2006/relationships/hyperlink" Target="https://www.investing.com/news/economic-indicators/indonesia-to-sign-34-billion-pact-with-us-partners-ahead-of-tariff-negotiation-deadline-minister-says-4122078" TargetMode="External"/><Relationship Id="rId132" Type="http://schemas.openxmlformats.org/officeDocument/2006/relationships/hyperlink" Target="https://www.whitehouse.gov/fact-sheets/2026/02/fact-sheet-the-united-states-and-india-announce-historic-trade-deal/" TargetMode="External"/><Relationship Id="rId15" Type="http://schemas.openxmlformats.org/officeDocument/2006/relationships/hyperlink" Target="https://ustr.gov/about-us/policy-offices/press-office/fact-sheets/2013/april/US-consultations-Japan" TargetMode="External"/><Relationship Id="rId36" Type="http://schemas.openxmlformats.org/officeDocument/2006/relationships/hyperlink" Target="https://www.ustr.gov/about-us/policy-offices/press-office/press-releases/2016/february/united-states-prevails-wto-dispute" TargetMode="External"/><Relationship Id="rId57" Type="http://schemas.openxmlformats.org/officeDocument/2006/relationships/hyperlink" Target="https://www.pib.gov.in/PressReleasePage.aspx?PRID=1576941&amp;lang=2&amp;reg=3" TargetMode="External"/><Relationship Id="rId106" Type="http://schemas.openxmlformats.org/officeDocument/2006/relationships/hyperlink" Target="https://asean.org/asean-leaders-statement-on-responding-to-global-economic-and-trade-uncertainties/" TargetMode="External"/><Relationship Id="rId127" Type="http://schemas.openxmlformats.org/officeDocument/2006/relationships/hyperlink" Target="https://www.whitehouse.gov/briefings-statements/2025/10/joint-statement-on-a-framework-for-a-united-states-thailand-agreement-on-reciprocal-trade/" TargetMode="External"/><Relationship Id="rId10" Type="http://schemas.openxmlformats.org/officeDocument/2006/relationships/hyperlink" Target="https://www.wto.org/english/news_e/news13_e/dsb_18feb13_e.htm" TargetMode="External"/><Relationship Id="rId31" Type="http://schemas.openxmlformats.org/officeDocument/2006/relationships/hyperlink" Target="https://www.wto.org/english/tratop_e/dispu_e/cases_e/ds430_e.htm" TargetMode="External"/><Relationship Id="rId52" Type="http://schemas.openxmlformats.org/officeDocument/2006/relationships/hyperlink" Target="https://ustr.gov/about-us/policy-offices/press-office/fact-sheets/2018/march/new-us-trade-policy-and-national" TargetMode="External"/><Relationship Id="rId73" Type="http://schemas.openxmlformats.org/officeDocument/2006/relationships/hyperlink" Target="https://ustr.gov/about-us/policy-offices/press-office/press-releases/2023/june/united-states-announces-major-resolution-key-trade-issues-india" TargetMode="External"/><Relationship Id="rId78" Type="http://schemas.openxmlformats.org/officeDocument/2006/relationships/hyperlink" Target="https://www.whitehouse.gov/presidential-actions/2025/04/regulating-imports-with-a-reciprocal-tariff-to-rectify-trade-practices-that-contribute-to-large-and-persistent-annual-united-states-goods-trade-deficits/" TargetMode="External"/><Relationship Id="rId94" Type="http://schemas.openxmlformats.org/officeDocument/2006/relationships/hyperlink" Target="https://www.whitehouse.gov/presidential-actions/2025/04/modifying-reciprocal-tariff-rates-to-reflect-trading-partner-retaliation-and-alignment/" TargetMode="External"/><Relationship Id="rId99" Type="http://schemas.openxmlformats.org/officeDocument/2006/relationships/hyperlink" Target="https://www.investing.com/news/world-news/britain-and-india-clinch-landmark-trade-deal-in-shadow-of-trumps-tariffs-4025079" TargetMode="External"/><Relationship Id="rId101" Type="http://schemas.openxmlformats.org/officeDocument/2006/relationships/hyperlink" Target="https://www.investing.com/news/economic-indicators/exclusiveindia-offers-to-slash-tariff-gap-by-two-thirds-in-dash-to-seal-trade-pact-with-trump-4035573" TargetMode="External"/><Relationship Id="rId122" Type="http://schemas.openxmlformats.org/officeDocument/2006/relationships/hyperlink" Target="https://www.korea.net/NewsFocus/Business/view?articleId=276234" TargetMode="External"/><Relationship Id="rId4" Type="http://schemas.openxmlformats.org/officeDocument/2006/relationships/hyperlink" Target="https://2009-2017.state.gov/e/eb/rls/rm/2011/166630.htm" TargetMode="External"/><Relationship Id="rId9" Type="http://schemas.openxmlformats.org/officeDocument/2006/relationships/hyperlink" Target="https://ustr.gov/node/1458" TargetMode="External"/><Relationship Id="rId26" Type="http://schemas.openxmlformats.org/officeDocument/2006/relationships/hyperlink" Target="https://www.wto.org/english/tratop_e/dispu_e/cases_e/ds430_e.htm" TargetMode="External"/><Relationship Id="rId47" Type="http://schemas.openxmlformats.org/officeDocument/2006/relationships/hyperlink" Target="https://en.yna.co.kr/view/AEN20180123003651320" TargetMode="External"/><Relationship Id="rId68" Type="http://schemas.openxmlformats.org/officeDocument/2006/relationships/hyperlink" Target="https://ustr.gov/about-us/policy-offices/press-office/press-releases/2021/july/ustr-releases-determination-action-and-ongoing-monitoring-following-us-vietnam-agreement-vietnams" TargetMode="External"/><Relationship Id="rId89" Type="http://schemas.openxmlformats.org/officeDocument/2006/relationships/hyperlink" Target="https://www.investing.com/news/stock-market-news/south-korea-announces-emergency-measures-for-auto-industry-hit-by-us-tariffs-3975405" TargetMode="External"/><Relationship Id="rId112" Type="http://schemas.openxmlformats.org/officeDocument/2006/relationships/hyperlink" Target="https://www.whitehouse.gov/briefings-statements/2025/07/joint-statement-on-framework-for-united-states-indonesia-agreement-on-reciprocal-trade/" TargetMode="External"/><Relationship Id="rId133" Type="http://schemas.openxmlformats.org/officeDocument/2006/relationships/hyperlink" Target="https://www.ekon.go.id/publikasi/detail/6857/pemerintah-indonesia-antisipasi-investigasi-dari-ustr-dengan-persiapkan-argumentasi-dan-bukti-ku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"/>
  <sheetViews>
    <sheetView tabSelected="1" workbookViewId="0">
      <pane ySplit="1" topLeftCell="A2" activePane="bottomLeft" state="frozen"/>
      <selection pane="bottomLeft" activeCell="G30" sqref="A30:XFD30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5" customWidth="1"/>
    <col min="4" max="4" width="13" customWidth="1"/>
    <col min="5" max="5" width="14" customWidth="1"/>
    <col min="6" max="6" width="11" customWidth="1"/>
    <col min="7" max="8" width="24" customWidth="1"/>
    <col min="9" max="9" width="44" customWidth="1"/>
    <col min="10" max="10" width="38" customWidth="1"/>
    <col min="11" max="11" width="36" customWidth="1"/>
    <col min="12" max="12" width="60" customWidth="1"/>
    <col min="13" max="13" width="48" customWidth="1"/>
    <col min="14" max="14" width="18" customWidth="1"/>
    <col min="15" max="15" width="28" customWidth="1"/>
    <col min="16" max="16" width="65" customWidth="1"/>
    <col min="17" max="17" width="52" customWidth="1"/>
  </cols>
  <sheetData>
    <row r="1" spans="1:17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4" customHeight="1" x14ac:dyDescent="0.2">
      <c r="A2" s="2">
        <v>40210</v>
      </c>
      <c r="B2" s="3" t="s">
        <v>17</v>
      </c>
      <c r="C2" s="4">
        <v>0</v>
      </c>
      <c r="D2" s="4">
        <v>0</v>
      </c>
      <c r="E2" s="4">
        <v>0</v>
      </c>
      <c r="F2" s="4">
        <v>1</v>
      </c>
      <c r="G2" s="5" t="s">
        <v>18</v>
      </c>
      <c r="H2" s="3" t="s">
        <v>19</v>
      </c>
      <c r="I2" s="6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15" t="s">
        <v>20</v>
      </c>
    </row>
    <row r="3" spans="1:17" ht="54" customHeight="1" x14ac:dyDescent="0.2">
      <c r="A3" s="2">
        <v>40515</v>
      </c>
      <c r="B3" s="3" t="s">
        <v>28</v>
      </c>
      <c r="C3" s="4">
        <v>1</v>
      </c>
      <c r="D3" s="4">
        <v>0</v>
      </c>
      <c r="E3" s="4">
        <v>0</v>
      </c>
      <c r="F3" s="4">
        <v>0</v>
      </c>
      <c r="G3" s="3"/>
      <c r="H3" s="3" t="s">
        <v>29</v>
      </c>
      <c r="I3" s="6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25</v>
      </c>
      <c r="O3" s="3" t="s">
        <v>35</v>
      </c>
      <c r="P3" s="3" t="s">
        <v>36</v>
      </c>
      <c r="Q3" s="15" t="s">
        <v>30</v>
      </c>
    </row>
    <row r="4" spans="1:17" ht="54" customHeight="1" x14ac:dyDescent="0.2">
      <c r="A4" s="2">
        <v>40515</v>
      </c>
      <c r="B4" s="3" t="s">
        <v>28</v>
      </c>
      <c r="C4" s="4">
        <v>1</v>
      </c>
      <c r="D4" s="4">
        <v>0</v>
      </c>
      <c r="E4" s="4">
        <v>0</v>
      </c>
      <c r="F4" s="4">
        <v>0</v>
      </c>
      <c r="G4" s="3"/>
      <c r="H4" s="3" t="s">
        <v>29</v>
      </c>
      <c r="I4" s="6" t="s">
        <v>30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25</v>
      </c>
      <c r="O4" s="3" t="s">
        <v>35</v>
      </c>
      <c r="P4" s="3" t="s">
        <v>36</v>
      </c>
      <c r="Q4" s="15" t="s">
        <v>30</v>
      </c>
    </row>
    <row r="5" spans="1:17" ht="54" customHeight="1" x14ac:dyDescent="0.2">
      <c r="A5" s="2">
        <v>40896</v>
      </c>
      <c r="B5" s="3" t="s">
        <v>41</v>
      </c>
      <c r="C5" s="4">
        <v>1</v>
      </c>
      <c r="D5" s="4">
        <v>0</v>
      </c>
      <c r="E5" s="4">
        <v>0</v>
      </c>
      <c r="F5" s="4">
        <v>0</v>
      </c>
      <c r="G5" s="3"/>
      <c r="H5" s="3" t="s">
        <v>42</v>
      </c>
      <c r="I5" s="6" t="s">
        <v>43</v>
      </c>
      <c r="J5" s="3" t="s">
        <v>44</v>
      </c>
      <c r="K5" s="3" t="s">
        <v>45</v>
      </c>
      <c r="L5" s="3" t="s">
        <v>46</v>
      </c>
      <c r="M5" s="3" t="s">
        <v>47</v>
      </c>
      <c r="N5" s="3" t="s">
        <v>25</v>
      </c>
      <c r="O5" s="3" t="s">
        <v>48</v>
      </c>
      <c r="P5" s="3" t="s">
        <v>49</v>
      </c>
      <c r="Q5" s="15" t="s">
        <v>43</v>
      </c>
    </row>
    <row r="6" spans="1:17" ht="54" customHeight="1" x14ac:dyDescent="0.2">
      <c r="A6" s="2">
        <v>40955</v>
      </c>
      <c r="B6" s="3" t="s">
        <v>17</v>
      </c>
      <c r="C6" s="4">
        <v>0</v>
      </c>
      <c r="D6" s="4">
        <v>0</v>
      </c>
      <c r="E6" s="4">
        <v>0</v>
      </c>
      <c r="F6" s="4">
        <v>1</v>
      </c>
      <c r="G6" s="5" t="s">
        <v>18</v>
      </c>
      <c r="H6" s="3" t="s">
        <v>42</v>
      </c>
      <c r="I6" s="6" t="s">
        <v>50</v>
      </c>
      <c r="J6" s="3" t="s">
        <v>51</v>
      </c>
      <c r="K6" s="3" t="s">
        <v>52</v>
      </c>
      <c r="L6" s="3" t="s">
        <v>53</v>
      </c>
      <c r="M6" s="3" t="s">
        <v>24</v>
      </c>
      <c r="N6" s="3" t="s">
        <v>25</v>
      </c>
      <c r="O6" s="3" t="s">
        <v>26</v>
      </c>
      <c r="P6" s="3" t="s">
        <v>54</v>
      </c>
      <c r="Q6" s="15" t="s">
        <v>55</v>
      </c>
    </row>
    <row r="7" spans="1:17" ht="54" customHeight="1" x14ac:dyDescent="0.2">
      <c r="A7" s="2">
        <v>41376</v>
      </c>
      <c r="B7" s="3" t="s">
        <v>41</v>
      </c>
      <c r="C7" s="4">
        <v>1</v>
      </c>
      <c r="D7" s="4">
        <v>0</v>
      </c>
      <c r="E7" s="4">
        <v>0</v>
      </c>
      <c r="F7" s="4">
        <v>0</v>
      </c>
      <c r="G7" s="3"/>
      <c r="H7" s="3" t="s">
        <v>42</v>
      </c>
      <c r="I7" s="6" t="s">
        <v>56</v>
      </c>
      <c r="J7" s="3" t="s">
        <v>57</v>
      </c>
      <c r="K7" s="3" t="s">
        <v>58</v>
      </c>
      <c r="L7" s="3" t="s">
        <v>59</v>
      </c>
      <c r="M7" s="3" t="s">
        <v>60</v>
      </c>
      <c r="N7" s="3" t="s">
        <v>25</v>
      </c>
      <c r="O7" s="3" t="s">
        <v>61</v>
      </c>
      <c r="P7" s="3" t="s">
        <v>62</v>
      </c>
      <c r="Q7" s="15" t="s">
        <v>63</v>
      </c>
    </row>
    <row r="8" spans="1:17" ht="54" customHeight="1" x14ac:dyDescent="0.2">
      <c r="A8" s="2">
        <v>41376</v>
      </c>
      <c r="B8" s="3" t="s">
        <v>41</v>
      </c>
      <c r="C8" s="4">
        <v>1</v>
      </c>
      <c r="D8" s="4">
        <v>0</v>
      </c>
      <c r="E8" s="4">
        <v>0</v>
      </c>
      <c r="F8" s="4">
        <v>0</v>
      </c>
      <c r="G8" s="3"/>
      <c r="H8" s="3" t="s">
        <v>42</v>
      </c>
      <c r="I8" s="6" t="s">
        <v>56</v>
      </c>
      <c r="J8" s="3" t="s">
        <v>64</v>
      </c>
      <c r="K8" s="3" t="s">
        <v>65</v>
      </c>
      <c r="L8" s="3" t="s">
        <v>66</v>
      </c>
      <c r="M8" s="3" t="s">
        <v>67</v>
      </c>
      <c r="N8" s="3" t="s">
        <v>25</v>
      </c>
      <c r="O8" s="3" t="s">
        <v>61</v>
      </c>
      <c r="P8" s="3" t="s">
        <v>62</v>
      </c>
      <c r="Q8" s="15" t="s">
        <v>63</v>
      </c>
    </row>
    <row r="9" spans="1:17" ht="54" customHeight="1" x14ac:dyDescent="0.2">
      <c r="A9" s="2">
        <v>41376</v>
      </c>
      <c r="B9" s="3" t="s">
        <v>41</v>
      </c>
      <c r="C9" s="4">
        <v>1</v>
      </c>
      <c r="D9" s="4">
        <v>0</v>
      </c>
      <c r="E9" s="4">
        <v>0</v>
      </c>
      <c r="F9" s="4">
        <v>0</v>
      </c>
      <c r="G9" s="3"/>
      <c r="H9" s="3" t="s">
        <v>42</v>
      </c>
      <c r="I9" s="6" t="s">
        <v>56</v>
      </c>
      <c r="J9" s="3" t="s">
        <v>68</v>
      </c>
      <c r="K9" s="3" t="s">
        <v>69</v>
      </c>
      <c r="L9" s="3" t="s">
        <v>70</v>
      </c>
      <c r="M9" s="3" t="s">
        <v>71</v>
      </c>
      <c r="N9" s="3" t="s">
        <v>25</v>
      </c>
      <c r="O9" s="3" t="s">
        <v>61</v>
      </c>
      <c r="P9" s="3" t="s">
        <v>62</v>
      </c>
      <c r="Q9" s="15" t="s">
        <v>63</v>
      </c>
    </row>
    <row r="10" spans="1:17" ht="54" customHeight="1" x14ac:dyDescent="0.2">
      <c r="A10" s="2">
        <v>41466</v>
      </c>
      <c r="B10" s="3" t="s">
        <v>72</v>
      </c>
      <c r="C10" s="4">
        <v>1</v>
      </c>
      <c r="D10" s="4">
        <v>0</v>
      </c>
      <c r="E10" s="4">
        <v>0</v>
      </c>
      <c r="F10" s="4">
        <v>0</v>
      </c>
      <c r="G10" s="3"/>
      <c r="H10" s="3" t="s">
        <v>42</v>
      </c>
      <c r="I10" s="6" t="s">
        <v>73</v>
      </c>
      <c r="J10" s="3" t="s">
        <v>74</v>
      </c>
      <c r="K10" s="3" t="s">
        <v>75</v>
      </c>
      <c r="L10" s="3" t="s">
        <v>76</v>
      </c>
      <c r="M10" s="3" t="s">
        <v>77</v>
      </c>
      <c r="N10" s="3" t="s">
        <v>25</v>
      </c>
      <c r="O10" s="3" t="s">
        <v>48</v>
      </c>
      <c r="P10" s="3" t="s">
        <v>78</v>
      </c>
      <c r="Q10" s="15" t="s">
        <v>73</v>
      </c>
    </row>
    <row r="11" spans="1:17" ht="54" customHeight="1" x14ac:dyDescent="0.2">
      <c r="A11" s="2">
        <v>41347</v>
      </c>
      <c r="B11" s="3" t="s">
        <v>79</v>
      </c>
      <c r="C11" s="4">
        <v>0</v>
      </c>
      <c r="D11" s="4">
        <v>0</v>
      </c>
      <c r="E11" s="4">
        <v>0</v>
      </c>
      <c r="F11" s="4">
        <v>1</v>
      </c>
      <c r="G11" s="5" t="s">
        <v>80</v>
      </c>
      <c r="H11" s="3" t="s">
        <v>42</v>
      </c>
      <c r="I11" s="6" t="s">
        <v>81</v>
      </c>
      <c r="J11" s="3" t="s">
        <v>82</v>
      </c>
      <c r="K11" s="3" t="s">
        <v>83</v>
      </c>
      <c r="L11" s="3" t="s">
        <v>84</v>
      </c>
      <c r="M11" s="3" t="s">
        <v>85</v>
      </c>
      <c r="N11" s="3" t="s">
        <v>86</v>
      </c>
      <c r="O11" s="3" t="s">
        <v>87</v>
      </c>
      <c r="P11" s="3" t="s">
        <v>88</v>
      </c>
      <c r="Q11" s="15" t="s">
        <v>89</v>
      </c>
    </row>
    <row r="12" spans="1:17" ht="54" customHeight="1" x14ac:dyDescent="0.2">
      <c r="A12" s="2">
        <v>41757</v>
      </c>
      <c r="B12" s="3" t="s">
        <v>90</v>
      </c>
      <c r="C12" s="4">
        <v>1</v>
      </c>
      <c r="D12" s="4">
        <v>0</v>
      </c>
      <c r="E12" s="4">
        <v>0</v>
      </c>
      <c r="F12" s="4">
        <v>0</v>
      </c>
      <c r="G12" s="3"/>
      <c r="H12" s="3" t="s">
        <v>42</v>
      </c>
      <c r="I12" s="6" t="s">
        <v>91</v>
      </c>
      <c r="J12" s="3" t="s">
        <v>92</v>
      </c>
      <c r="K12" s="3" t="s">
        <v>93</v>
      </c>
      <c r="L12" s="3" t="s">
        <v>94</v>
      </c>
      <c r="M12" s="3" t="s">
        <v>95</v>
      </c>
      <c r="N12" s="3" t="s">
        <v>25</v>
      </c>
      <c r="O12" s="3" t="s">
        <v>61</v>
      </c>
      <c r="P12" s="3" t="s">
        <v>96</v>
      </c>
      <c r="Q12" s="15" t="s">
        <v>91</v>
      </c>
    </row>
    <row r="13" spans="1:17" ht="54" customHeight="1" x14ac:dyDescent="0.2">
      <c r="A13" s="2">
        <v>41757</v>
      </c>
      <c r="B13" s="3" t="s">
        <v>90</v>
      </c>
      <c r="C13" s="4">
        <v>1</v>
      </c>
      <c r="D13" s="4">
        <v>0</v>
      </c>
      <c r="E13" s="4">
        <v>0</v>
      </c>
      <c r="F13" s="4">
        <v>0</v>
      </c>
      <c r="G13" s="3"/>
      <c r="H13" s="3" t="s">
        <v>97</v>
      </c>
      <c r="I13" s="6" t="s">
        <v>98</v>
      </c>
      <c r="J13" s="3" t="s">
        <v>99</v>
      </c>
      <c r="K13" s="3" t="s">
        <v>100</v>
      </c>
      <c r="L13" s="3" t="s">
        <v>101</v>
      </c>
      <c r="M13" s="3" t="s">
        <v>102</v>
      </c>
      <c r="N13" s="3" t="s">
        <v>25</v>
      </c>
      <c r="O13" s="3" t="s">
        <v>61</v>
      </c>
      <c r="P13" s="3" t="s">
        <v>103</v>
      </c>
      <c r="Q13" s="15" t="s">
        <v>98</v>
      </c>
    </row>
    <row r="14" spans="1:17" ht="54" customHeight="1" x14ac:dyDescent="0.2">
      <c r="A14" s="2">
        <v>42198</v>
      </c>
      <c r="B14" s="3" t="s">
        <v>72</v>
      </c>
      <c r="C14" s="4">
        <v>1</v>
      </c>
      <c r="D14" s="4">
        <v>0</v>
      </c>
      <c r="E14" s="4">
        <v>0</v>
      </c>
      <c r="F14" s="4">
        <v>0</v>
      </c>
      <c r="G14" s="3"/>
      <c r="H14" s="3" t="s">
        <v>19</v>
      </c>
      <c r="I14" s="6" t="s">
        <v>104</v>
      </c>
      <c r="J14" s="3" t="s">
        <v>105</v>
      </c>
      <c r="K14" s="3" t="s">
        <v>106</v>
      </c>
      <c r="L14" s="3" t="s">
        <v>107</v>
      </c>
      <c r="M14" s="3" t="s">
        <v>108</v>
      </c>
      <c r="N14" s="3" t="s">
        <v>25</v>
      </c>
      <c r="O14" s="3" t="s">
        <v>48</v>
      </c>
      <c r="P14" s="3" t="s">
        <v>109</v>
      </c>
      <c r="Q14" s="15" t="s">
        <v>104</v>
      </c>
    </row>
    <row r="15" spans="1:17" ht="54" customHeight="1" x14ac:dyDescent="0.2">
      <c r="A15" s="2">
        <v>42333</v>
      </c>
      <c r="B15" s="3" t="s">
        <v>90</v>
      </c>
      <c r="C15" s="4">
        <v>1</v>
      </c>
      <c r="D15" s="4">
        <v>0</v>
      </c>
      <c r="E15" s="4">
        <v>0</v>
      </c>
      <c r="F15" s="4">
        <v>0</v>
      </c>
      <c r="G15" s="3"/>
      <c r="H15" s="3" t="s">
        <v>42</v>
      </c>
      <c r="I15" s="6" t="s">
        <v>110</v>
      </c>
      <c r="J15" s="3" t="s">
        <v>111</v>
      </c>
      <c r="K15" s="3" t="s">
        <v>112</v>
      </c>
      <c r="L15" s="3" t="s">
        <v>113</v>
      </c>
      <c r="M15" s="3" t="s">
        <v>114</v>
      </c>
      <c r="N15" s="3" t="s">
        <v>25</v>
      </c>
      <c r="O15" s="3" t="s">
        <v>61</v>
      </c>
      <c r="P15" s="3" t="s">
        <v>115</v>
      </c>
      <c r="Q15" s="15" t="s">
        <v>110</v>
      </c>
    </row>
    <row r="16" spans="1:17" ht="54" customHeight="1" x14ac:dyDescent="0.2">
      <c r="A16" s="2">
        <v>42480</v>
      </c>
      <c r="B16" s="3" t="s">
        <v>116</v>
      </c>
      <c r="C16" s="4">
        <v>1</v>
      </c>
      <c r="D16" s="4">
        <v>0</v>
      </c>
      <c r="E16" s="4">
        <v>0</v>
      </c>
      <c r="F16" s="4">
        <v>0</v>
      </c>
      <c r="G16" s="3"/>
      <c r="H16" s="3" t="s">
        <v>42</v>
      </c>
      <c r="I16" s="6" t="s">
        <v>117</v>
      </c>
      <c r="J16" s="3" t="s">
        <v>118</v>
      </c>
      <c r="K16" s="3" t="s">
        <v>119</v>
      </c>
      <c r="L16" s="3" t="s">
        <v>120</v>
      </c>
      <c r="M16" s="3" t="s">
        <v>121</v>
      </c>
      <c r="N16" s="3" t="s">
        <v>25</v>
      </c>
      <c r="O16" s="3" t="s">
        <v>26</v>
      </c>
      <c r="P16" s="3" t="s">
        <v>122</v>
      </c>
      <c r="Q16" s="15" t="s">
        <v>123</v>
      </c>
    </row>
    <row r="17" spans="1:17" ht="54" customHeight="1" x14ac:dyDescent="0.2">
      <c r="A17" s="2">
        <v>42569</v>
      </c>
      <c r="B17" s="3" t="s">
        <v>72</v>
      </c>
      <c r="C17" s="4">
        <v>1</v>
      </c>
      <c r="D17" s="4">
        <v>0</v>
      </c>
      <c r="E17" s="4">
        <v>0</v>
      </c>
      <c r="F17" s="4">
        <v>0</v>
      </c>
      <c r="G17" s="3"/>
      <c r="H17" s="3" t="s">
        <v>19</v>
      </c>
      <c r="I17" s="6" t="s">
        <v>104</v>
      </c>
      <c r="J17" s="3" t="s">
        <v>124</v>
      </c>
      <c r="K17" s="3" t="s">
        <v>125</v>
      </c>
      <c r="L17" s="3" t="s">
        <v>126</v>
      </c>
      <c r="M17" s="3" t="s">
        <v>127</v>
      </c>
      <c r="N17" s="3" t="s">
        <v>25</v>
      </c>
      <c r="O17" s="3" t="s">
        <v>26</v>
      </c>
      <c r="P17" s="3" t="s">
        <v>128</v>
      </c>
      <c r="Q17" s="15" t="s">
        <v>129</v>
      </c>
    </row>
    <row r="18" spans="1:17" ht="54" customHeight="1" x14ac:dyDescent="0.2">
      <c r="A18" s="2">
        <v>42635</v>
      </c>
      <c r="B18" s="3" t="s">
        <v>72</v>
      </c>
      <c r="C18" s="4">
        <v>1</v>
      </c>
      <c r="D18" s="4">
        <v>0</v>
      </c>
      <c r="E18" s="4">
        <v>0</v>
      </c>
      <c r="F18" s="4">
        <v>0</v>
      </c>
      <c r="G18" s="3"/>
      <c r="H18" s="3" t="s">
        <v>19</v>
      </c>
      <c r="I18" s="6" t="s">
        <v>104</v>
      </c>
      <c r="J18" s="3" t="s">
        <v>130</v>
      </c>
      <c r="K18" s="3" t="s">
        <v>131</v>
      </c>
      <c r="L18" s="3" t="s">
        <v>132</v>
      </c>
      <c r="M18" s="3" t="s">
        <v>133</v>
      </c>
      <c r="N18" s="3" t="s">
        <v>25</v>
      </c>
      <c r="O18" s="3" t="s">
        <v>48</v>
      </c>
      <c r="P18" s="3" t="s">
        <v>134</v>
      </c>
      <c r="Q18" s="15" t="s">
        <v>104</v>
      </c>
    </row>
    <row r="19" spans="1:17" ht="54" customHeight="1" x14ac:dyDescent="0.2">
      <c r="A19" s="2">
        <v>42424</v>
      </c>
      <c r="B19" s="3" t="s">
        <v>72</v>
      </c>
      <c r="C19" s="4">
        <v>0</v>
      </c>
      <c r="D19" s="4">
        <v>0</v>
      </c>
      <c r="E19" s="4">
        <v>0</v>
      </c>
      <c r="F19" s="4">
        <v>1</v>
      </c>
      <c r="G19" s="5" t="s">
        <v>135</v>
      </c>
      <c r="H19" s="3" t="s">
        <v>42</v>
      </c>
      <c r="I19" s="6" t="s">
        <v>136</v>
      </c>
      <c r="J19" s="3" t="s">
        <v>137</v>
      </c>
      <c r="K19" s="3" t="s">
        <v>138</v>
      </c>
      <c r="L19" s="3" t="s">
        <v>139</v>
      </c>
      <c r="M19" s="3" t="s">
        <v>140</v>
      </c>
      <c r="N19" s="3" t="s">
        <v>25</v>
      </c>
      <c r="O19" s="3" t="s">
        <v>26</v>
      </c>
      <c r="P19" s="3" t="s">
        <v>141</v>
      </c>
      <c r="Q19" s="15" t="s">
        <v>136</v>
      </c>
    </row>
    <row r="20" spans="1:17" ht="54" customHeight="1" x14ac:dyDescent="0.2">
      <c r="A20" s="2">
        <v>42480</v>
      </c>
      <c r="B20" s="3" t="s">
        <v>72</v>
      </c>
      <c r="C20" s="4">
        <v>0</v>
      </c>
      <c r="D20" s="4">
        <v>0</v>
      </c>
      <c r="E20" s="4">
        <v>0</v>
      </c>
      <c r="F20" s="4">
        <v>1</v>
      </c>
      <c r="G20" s="5" t="s">
        <v>142</v>
      </c>
      <c r="H20" s="3" t="s">
        <v>143</v>
      </c>
      <c r="I20" s="6" t="s">
        <v>144</v>
      </c>
      <c r="J20" s="3" t="s">
        <v>145</v>
      </c>
      <c r="K20" s="3" t="s">
        <v>146</v>
      </c>
      <c r="L20" s="3" t="s">
        <v>147</v>
      </c>
      <c r="M20" s="3" t="s">
        <v>148</v>
      </c>
      <c r="N20" s="3" t="s">
        <v>25</v>
      </c>
      <c r="O20" s="3" t="s">
        <v>26</v>
      </c>
      <c r="P20" s="3" t="s">
        <v>149</v>
      </c>
      <c r="Q20" s="15" t="s">
        <v>150</v>
      </c>
    </row>
    <row r="21" spans="1:17" ht="54" customHeight="1" x14ac:dyDescent="0.2">
      <c r="A21" s="2">
        <v>42404</v>
      </c>
      <c r="B21" s="3" t="s">
        <v>151</v>
      </c>
      <c r="C21" s="4">
        <v>1</v>
      </c>
      <c r="D21" s="4">
        <v>0</v>
      </c>
      <c r="E21" s="4">
        <v>0</v>
      </c>
      <c r="F21" s="4">
        <v>0</v>
      </c>
      <c r="G21" s="3"/>
      <c r="H21" s="3" t="s">
        <v>152</v>
      </c>
      <c r="I21" s="6" t="s">
        <v>153</v>
      </c>
      <c r="J21" s="3" t="s">
        <v>154</v>
      </c>
      <c r="K21" s="3" t="s">
        <v>155</v>
      </c>
      <c r="L21" s="3" t="s">
        <v>156</v>
      </c>
      <c r="M21" s="3" t="s">
        <v>157</v>
      </c>
      <c r="N21" s="3" t="s">
        <v>86</v>
      </c>
      <c r="O21" s="3" t="s">
        <v>48</v>
      </c>
      <c r="P21" s="3" t="s">
        <v>158</v>
      </c>
      <c r="Q21" s="15" t="s">
        <v>159</v>
      </c>
    </row>
    <row r="22" spans="1:17" ht="54" customHeight="1" x14ac:dyDescent="0.2">
      <c r="A22" s="2">
        <v>42491</v>
      </c>
      <c r="B22" s="3" t="s">
        <v>17</v>
      </c>
      <c r="C22" s="4">
        <v>1</v>
      </c>
      <c r="D22" s="4">
        <v>0</v>
      </c>
      <c r="E22" s="4">
        <v>0</v>
      </c>
      <c r="F22" s="4">
        <v>0</v>
      </c>
      <c r="G22" s="3"/>
      <c r="H22" s="3" t="s">
        <v>42</v>
      </c>
      <c r="I22" s="6" t="s">
        <v>160</v>
      </c>
      <c r="J22" s="3" t="s">
        <v>161</v>
      </c>
      <c r="K22" s="3" t="s">
        <v>162</v>
      </c>
      <c r="L22" s="3" t="s">
        <v>163</v>
      </c>
      <c r="M22" s="3" t="s">
        <v>164</v>
      </c>
      <c r="N22" s="3" t="s">
        <v>86</v>
      </c>
      <c r="O22" s="3" t="s">
        <v>48</v>
      </c>
      <c r="P22" s="3" t="s">
        <v>165</v>
      </c>
      <c r="Q22" s="15" t="s">
        <v>166</v>
      </c>
    </row>
    <row r="23" spans="1:17" ht="54" customHeight="1" x14ac:dyDescent="0.2">
      <c r="A23" s="2">
        <v>42759</v>
      </c>
      <c r="B23" s="3" t="s">
        <v>41</v>
      </c>
      <c r="C23" s="4">
        <v>0</v>
      </c>
      <c r="D23" s="4">
        <v>0</v>
      </c>
      <c r="E23" s="4">
        <v>0</v>
      </c>
      <c r="F23" s="4">
        <v>1</v>
      </c>
      <c r="G23" s="5" t="s">
        <v>167</v>
      </c>
      <c r="H23" s="3" t="s">
        <v>168</v>
      </c>
      <c r="I23" s="6" t="s">
        <v>169</v>
      </c>
      <c r="J23" s="3" t="s">
        <v>170</v>
      </c>
      <c r="K23" s="3" t="s">
        <v>171</v>
      </c>
      <c r="L23" s="3" t="s">
        <v>172</v>
      </c>
      <c r="M23" s="3" t="s">
        <v>173</v>
      </c>
      <c r="N23" s="3" t="s">
        <v>25</v>
      </c>
      <c r="O23" s="3" t="s">
        <v>35</v>
      </c>
      <c r="P23" s="3" t="s">
        <v>174</v>
      </c>
      <c r="Q23" s="15" t="s">
        <v>175</v>
      </c>
    </row>
    <row r="24" spans="1:17" ht="54" customHeight="1" x14ac:dyDescent="0.2">
      <c r="A24" s="2">
        <v>43123</v>
      </c>
      <c r="B24" s="3" t="s">
        <v>176</v>
      </c>
      <c r="C24" s="4">
        <v>0</v>
      </c>
      <c r="D24" s="4">
        <v>0</v>
      </c>
      <c r="E24" s="4">
        <v>1</v>
      </c>
      <c r="F24" s="4">
        <v>0</v>
      </c>
      <c r="G24" s="3"/>
      <c r="H24" s="3" t="s">
        <v>177</v>
      </c>
      <c r="I24" s="6" t="s">
        <v>178</v>
      </c>
      <c r="J24" s="3" t="s">
        <v>179</v>
      </c>
      <c r="K24" s="3" t="s">
        <v>171</v>
      </c>
      <c r="L24" s="3" t="s">
        <v>180</v>
      </c>
      <c r="M24" s="3" t="s">
        <v>181</v>
      </c>
      <c r="N24" s="3" t="s">
        <v>25</v>
      </c>
      <c r="O24" s="3" t="s">
        <v>48</v>
      </c>
      <c r="P24" s="3" t="s">
        <v>182</v>
      </c>
      <c r="Q24" s="15" t="s">
        <v>183</v>
      </c>
    </row>
    <row r="25" spans="1:17" ht="54" customHeight="1" x14ac:dyDescent="0.2">
      <c r="A25" s="2">
        <v>43123</v>
      </c>
      <c r="B25" s="3" t="s">
        <v>28</v>
      </c>
      <c r="C25" s="4">
        <v>0</v>
      </c>
      <c r="D25" s="4">
        <v>0</v>
      </c>
      <c r="E25" s="4">
        <v>0</v>
      </c>
      <c r="F25" s="4">
        <v>1</v>
      </c>
      <c r="G25" s="5" t="s">
        <v>18</v>
      </c>
      <c r="H25" s="3" t="s">
        <v>184</v>
      </c>
      <c r="I25" s="6" t="s">
        <v>185</v>
      </c>
      <c r="J25" s="3" t="s">
        <v>186</v>
      </c>
      <c r="K25" s="3" t="s">
        <v>187</v>
      </c>
      <c r="L25" s="3" t="s">
        <v>188</v>
      </c>
      <c r="M25" s="3" t="s">
        <v>189</v>
      </c>
      <c r="N25" s="3" t="s">
        <v>25</v>
      </c>
      <c r="O25" s="3" t="s">
        <v>26</v>
      </c>
      <c r="P25" s="3" t="s">
        <v>190</v>
      </c>
      <c r="Q25" s="15" t="s">
        <v>191</v>
      </c>
    </row>
    <row r="26" spans="1:17" ht="54" customHeight="1" x14ac:dyDescent="0.2">
      <c r="A26" s="2">
        <v>43169</v>
      </c>
      <c r="B26" s="3" t="s">
        <v>192</v>
      </c>
      <c r="C26" s="4">
        <v>1</v>
      </c>
      <c r="D26" s="4">
        <v>0</v>
      </c>
      <c r="E26" s="4">
        <v>0</v>
      </c>
      <c r="F26" s="4">
        <v>0</v>
      </c>
      <c r="G26" s="3"/>
      <c r="H26" s="3" t="s">
        <v>193</v>
      </c>
      <c r="I26" s="6" t="s">
        <v>194</v>
      </c>
      <c r="J26" s="3" t="s">
        <v>195</v>
      </c>
      <c r="K26" s="3" t="s">
        <v>196</v>
      </c>
      <c r="L26" s="3" t="s">
        <v>197</v>
      </c>
      <c r="M26" s="3" t="s">
        <v>198</v>
      </c>
      <c r="N26" s="3" t="s">
        <v>86</v>
      </c>
      <c r="O26" s="3" t="s">
        <v>61</v>
      </c>
      <c r="P26" s="3" t="s">
        <v>199</v>
      </c>
      <c r="Q26" s="15" t="s">
        <v>200</v>
      </c>
    </row>
    <row r="27" spans="1:17" ht="54" customHeight="1" x14ac:dyDescent="0.2">
      <c r="A27" s="2">
        <v>43160</v>
      </c>
      <c r="B27" s="3" t="s">
        <v>28</v>
      </c>
      <c r="C27" s="4">
        <v>1</v>
      </c>
      <c r="D27" s="4">
        <v>0</v>
      </c>
      <c r="E27" s="4">
        <v>0</v>
      </c>
      <c r="F27" s="4">
        <v>0</v>
      </c>
      <c r="G27" s="3"/>
      <c r="H27" s="3" t="s">
        <v>143</v>
      </c>
      <c r="I27" s="6" t="s">
        <v>201</v>
      </c>
      <c r="J27" s="3" t="s">
        <v>202</v>
      </c>
      <c r="K27" s="3" t="s">
        <v>203</v>
      </c>
      <c r="L27" s="3" t="s">
        <v>204</v>
      </c>
      <c r="M27" s="3" t="s">
        <v>205</v>
      </c>
      <c r="N27" s="3" t="s">
        <v>25</v>
      </c>
      <c r="O27" s="3" t="s">
        <v>206</v>
      </c>
      <c r="P27" s="3" t="s">
        <v>207</v>
      </c>
      <c r="Q27" s="15" t="s">
        <v>208</v>
      </c>
    </row>
    <row r="28" spans="1:17" ht="54" customHeight="1" x14ac:dyDescent="0.2">
      <c r="A28" s="2">
        <v>43187</v>
      </c>
      <c r="B28" s="3" t="s">
        <v>28</v>
      </c>
      <c r="C28" s="4">
        <v>1</v>
      </c>
      <c r="D28" s="4">
        <v>0</v>
      </c>
      <c r="E28" s="4">
        <v>0</v>
      </c>
      <c r="F28" s="4">
        <v>0</v>
      </c>
      <c r="G28" s="3"/>
      <c r="H28" s="3" t="s">
        <v>209</v>
      </c>
      <c r="I28" s="6" t="s">
        <v>210</v>
      </c>
      <c r="J28" s="3" t="s">
        <v>211</v>
      </c>
      <c r="K28" s="3" t="s">
        <v>212</v>
      </c>
      <c r="L28" s="3" t="s">
        <v>213</v>
      </c>
      <c r="M28" s="3" t="s">
        <v>214</v>
      </c>
      <c r="N28" s="3" t="s">
        <v>25</v>
      </c>
      <c r="O28" s="3" t="s">
        <v>48</v>
      </c>
      <c r="P28" s="3" t="s">
        <v>215</v>
      </c>
      <c r="Q28" s="15" t="s">
        <v>208</v>
      </c>
    </row>
    <row r="29" spans="1:17" ht="54" customHeight="1" x14ac:dyDescent="0.2">
      <c r="A29" s="2">
        <v>43298</v>
      </c>
      <c r="B29" s="3" t="s">
        <v>216</v>
      </c>
      <c r="C29" s="4">
        <v>0</v>
      </c>
      <c r="D29" s="4">
        <v>0</v>
      </c>
      <c r="E29" s="4">
        <v>1</v>
      </c>
      <c r="F29" s="4">
        <v>0</v>
      </c>
      <c r="G29" s="3"/>
      <c r="H29" s="3" t="s">
        <v>217</v>
      </c>
      <c r="I29" s="6" t="s">
        <v>218</v>
      </c>
      <c r="J29" s="3" t="s">
        <v>219</v>
      </c>
      <c r="K29" s="3" t="s">
        <v>220</v>
      </c>
      <c r="L29" s="3" t="s">
        <v>221</v>
      </c>
      <c r="M29" s="3" t="s">
        <v>222</v>
      </c>
      <c r="N29" s="3" t="s">
        <v>25</v>
      </c>
      <c r="O29" s="3" t="s">
        <v>26</v>
      </c>
      <c r="P29" s="3" t="s">
        <v>223</v>
      </c>
      <c r="Q29" s="15" t="s">
        <v>224</v>
      </c>
    </row>
    <row r="30" spans="1:17" ht="54" customHeight="1" x14ac:dyDescent="0.2">
      <c r="A30" s="2">
        <v>43632</v>
      </c>
      <c r="B30" s="3" t="s">
        <v>72</v>
      </c>
      <c r="C30" s="4">
        <v>0</v>
      </c>
      <c r="D30" s="4">
        <v>0</v>
      </c>
      <c r="E30" s="4">
        <v>0</v>
      </c>
      <c r="F30" s="4">
        <v>1</v>
      </c>
      <c r="G30" s="5" t="s">
        <v>225</v>
      </c>
      <c r="H30" s="3" t="s">
        <v>226</v>
      </c>
      <c r="I30" s="6" t="s">
        <v>227</v>
      </c>
      <c r="J30" s="3" t="s">
        <v>228</v>
      </c>
      <c r="K30" s="3" t="s">
        <v>196</v>
      </c>
      <c r="L30" s="3" t="s">
        <v>229</v>
      </c>
      <c r="M30" s="3" t="s">
        <v>230</v>
      </c>
      <c r="N30" s="3" t="s">
        <v>25</v>
      </c>
      <c r="O30" s="3" t="s">
        <v>26</v>
      </c>
      <c r="P30" s="3" t="s">
        <v>231</v>
      </c>
      <c r="Q30" s="15" t="s">
        <v>232</v>
      </c>
    </row>
    <row r="31" spans="1:17" ht="54" customHeight="1" x14ac:dyDescent="0.2">
      <c r="A31" s="2">
        <v>44134</v>
      </c>
      <c r="B31" s="3" t="s">
        <v>79</v>
      </c>
      <c r="C31" s="4">
        <v>1</v>
      </c>
      <c r="D31" s="4">
        <v>0</v>
      </c>
      <c r="E31" s="4">
        <v>0</v>
      </c>
      <c r="F31" s="4">
        <v>0</v>
      </c>
      <c r="G31" s="3"/>
      <c r="H31" s="3" t="s">
        <v>42</v>
      </c>
      <c r="I31" s="6" t="s">
        <v>233</v>
      </c>
      <c r="J31" s="3" t="s">
        <v>234</v>
      </c>
      <c r="K31" s="3" t="s">
        <v>235</v>
      </c>
      <c r="L31" s="3" t="s">
        <v>236</v>
      </c>
      <c r="M31" s="3" t="s">
        <v>237</v>
      </c>
      <c r="N31" s="3" t="s">
        <v>25</v>
      </c>
      <c r="O31" s="3" t="s">
        <v>61</v>
      </c>
      <c r="P31" s="3" t="s">
        <v>238</v>
      </c>
      <c r="Q31" s="15" t="s">
        <v>233</v>
      </c>
    </row>
    <row r="32" spans="1:17" ht="54" customHeight="1" x14ac:dyDescent="0.2">
      <c r="A32" s="2">
        <v>44134</v>
      </c>
      <c r="B32" s="3" t="s">
        <v>79</v>
      </c>
      <c r="C32" s="4">
        <v>1</v>
      </c>
      <c r="D32" s="4">
        <v>0</v>
      </c>
      <c r="E32" s="4">
        <v>0</v>
      </c>
      <c r="F32" s="4">
        <v>0</v>
      </c>
      <c r="G32" s="3"/>
      <c r="H32" s="3" t="s">
        <v>42</v>
      </c>
      <c r="I32" s="6" t="s">
        <v>233</v>
      </c>
      <c r="J32" s="3" t="s">
        <v>239</v>
      </c>
      <c r="K32" s="3" t="s">
        <v>235</v>
      </c>
      <c r="L32" s="3" t="s">
        <v>240</v>
      </c>
      <c r="M32" s="3" t="s">
        <v>241</v>
      </c>
      <c r="N32" s="3" t="s">
        <v>25</v>
      </c>
      <c r="O32" s="3" t="s">
        <v>61</v>
      </c>
      <c r="P32" s="3" t="s">
        <v>238</v>
      </c>
      <c r="Q32" s="15" t="s">
        <v>233</v>
      </c>
    </row>
    <row r="33" spans="1:17" ht="54" customHeight="1" x14ac:dyDescent="0.2">
      <c r="A33" s="2">
        <v>44134</v>
      </c>
      <c r="B33" s="3" t="s">
        <v>79</v>
      </c>
      <c r="C33" s="4">
        <v>1</v>
      </c>
      <c r="D33" s="4">
        <v>0</v>
      </c>
      <c r="E33" s="4">
        <v>0</v>
      </c>
      <c r="F33" s="4">
        <v>0</v>
      </c>
      <c r="G33" s="3"/>
      <c r="H33" s="3" t="s">
        <v>42</v>
      </c>
      <c r="I33" s="6" t="s">
        <v>233</v>
      </c>
      <c r="J33" s="3" t="s">
        <v>242</v>
      </c>
      <c r="K33" s="3" t="s">
        <v>235</v>
      </c>
      <c r="L33" s="3" t="s">
        <v>243</v>
      </c>
      <c r="M33" s="3" t="s">
        <v>244</v>
      </c>
      <c r="N33" s="3" t="s">
        <v>25</v>
      </c>
      <c r="O33" s="3" t="s">
        <v>61</v>
      </c>
      <c r="P33" s="3" t="s">
        <v>238</v>
      </c>
      <c r="Q33" s="15" t="s">
        <v>233</v>
      </c>
    </row>
    <row r="34" spans="1:17" ht="54" customHeight="1" x14ac:dyDescent="0.2">
      <c r="A34" s="2">
        <v>44150</v>
      </c>
      <c r="B34" s="3" t="s">
        <v>245</v>
      </c>
      <c r="C34" s="4">
        <v>0</v>
      </c>
      <c r="D34" s="4">
        <v>0</v>
      </c>
      <c r="E34" s="4">
        <v>1</v>
      </c>
      <c r="F34" s="4">
        <v>0</v>
      </c>
      <c r="G34" s="3"/>
      <c r="H34" s="3" t="s">
        <v>246</v>
      </c>
      <c r="I34" s="6" t="s">
        <v>247</v>
      </c>
      <c r="J34" s="3" t="s">
        <v>248</v>
      </c>
      <c r="K34" s="3" t="s">
        <v>249</v>
      </c>
      <c r="L34" s="3" t="s">
        <v>250</v>
      </c>
      <c r="M34" s="3" t="s">
        <v>251</v>
      </c>
      <c r="N34" s="3" t="s">
        <v>86</v>
      </c>
      <c r="O34" s="3" t="s">
        <v>35</v>
      </c>
      <c r="P34" s="3" t="s">
        <v>252</v>
      </c>
      <c r="Q34" s="15" t="s">
        <v>253</v>
      </c>
    </row>
    <row r="35" spans="1:17" ht="54" customHeight="1" x14ac:dyDescent="0.2">
      <c r="A35" s="2">
        <v>44396</v>
      </c>
      <c r="B35" s="3" t="s">
        <v>17</v>
      </c>
      <c r="C35" s="4">
        <v>1</v>
      </c>
      <c r="D35" s="4">
        <v>0</v>
      </c>
      <c r="E35" s="4">
        <v>0</v>
      </c>
      <c r="F35" s="4">
        <v>0</v>
      </c>
      <c r="G35" s="3"/>
      <c r="H35" s="3" t="s">
        <v>42</v>
      </c>
      <c r="I35" s="6" t="s">
        <v>254</v>
      </c>
      <c r="J35" s="3" t="s">
        <v>255</v>
      </c>
      <c r="K35" s="3" t="s">
        <v>256</v>
      </c>
      <c r="L35" s="3" t="s">
        <v>257</v>
      </c>
      <c r="M35" s="3" t="s">
        <v>258</v>
      </c>
      <c r="N35" s="3" t="s">
        <v>25</v>
      </c>
      <c r="O35" s="3" t="s">
        <v>61</v>
      </c>
      <c r="P35" s="3" t="s">
        <v>259</v>
      </c>
      <c r="Q35" s="15" t="s">
        <v>260</v>
      </c>
    </row>
    <row r="36" spans="1:17" ht="54" customHeight="1" x14ac:dyDescent="0.2">
      <c r="A36" s="2">
        <v>44396</v>
      </c>
      <c r="B36" s="3" t="s">
        <v>17</v>
      </c>
      <c r="C36" s="4">
        <v>1</v>
      </c>
      <c r="D36" s="4">
        <v>0</v>
      </c>
      <c r="E36" s="4">
        <v>0</v>
      </c>
      <c r="F36" s="4">
        <v>0</v>
      </c>
      <c r="G36" s="3"/>
      <c r="H36" s="3" t="s">
        <v>42</v>
      </c>
      <c r="I36" s="6" t="s">
        <v>254</v>
      </c>
      <c r="J36" s="3" t="s">
        <v>261</v>
      </c>
      <c r="K36" s="3" t="s">
        <v>262</v>
      </c>
      <c r="L36" s="3" t="s">
        <v>263</v>
      </c>
      <c r="M36" s="3" t="s">
        <v>264</v>
      </c>
      <c r="N36" s="3" t="s">
        <v>25</v>
      </c>
      <c r="O36" s="3" t="s">
        <v>61</v>
      </c>
      <c r="P36" s="3" t="s">
        <v>259</v>
      </c>
      <c r="Q36" s="15" t="s">
        <v>260</v>
      </c>
    </row>
    <row r="37" spans="1:17" ht="54" customHeight="1" x14ac:dyDescent="0.2">
      <c r="A37" s="2">
        <v>44470</v>
      </c>
      <c r="B37" s="3" t="s">
        <v>17</v>
      </c>
      <c r="C37" s="4">
        <v>1</v>
      </c>
      <c r="D37" s="4">
        <v>0</v>
      </c>
      <c r="E37" s="4">
        <v>0</v>
      </c>
      <c r="F37" s="4">
        <v>0</v>
      </c>
      <c r="G37" s="3"/>
      <c r="H37" s="3" t="s">
        <v>42</v>
      </c>
      <c r="I37" s="6" t="s">
        <v>265</v>
      </c>
      <c r="J37" s="3" t="s">
        <v>266</v>
      </c>
      <c r="K37" s="3" t="s">
        <v>267</v>
      </c>
      <c r="L37" s="3" t="s">
        <v>268</v>
      </c>
      <c r="M37" s="3" t="s">
        <v>269</v>
      </c>
      <c r="N37" s="3" t="s">
        <v>25</v>
      </c>
      <c r="O37" s="3" t="s">
        <v>61</v>
      </c>
      <c r="P37" s="3" t="s">
        <v>270</v>
      </c>
      <c r="Q37" s="15" t="s">
        <v>265</v>
      </c>
    </row>
    <row r="38" spans="1:17" ht="54" customHeight="1" x14ac:dyDescent="0.2">
      <c r="A38" s="2">
        <v>45099</v>
      </c>
      <c r="B38" s="3" t="s">
        <v>72</v>
      </c>
      <c r="C38" s="4">
        <v>1</v>
      </c>
      <c r="D38" s="4">
        <v>0</v>
      </c>
      <c r="E38" s="4">
        <v>0</v>
      </c>
      <c r="F38" s="4">
        <v>0</v>
      </c>
      <c r="G38" s="3"/>
      <c r="H38" s="3" t="s">
        <v>42</v>
      </c>
      <c r="I38" s="6" t="s">
        <v>271</v>
      </c>
      <c r="J38" s="3" t="s">
        <v>272</v>
      </c>
      <c r="K38" s="3" t="s">
        <v>273</v>
      </c>
      <c r="L38" s="3" t="s">
        <v>274</v>
      </c>
      <c r="M38" s="3" t="s">
        <v>275</v>
      </c>
      <c r="N38" s="3" t="s">
        <v>25</v>
      </c>
      <c r="O38" s="3" t="s">
        <v>206</v>
      </c>
      <c r="P38" s="3" t="s">
        <v>276</v>
      </c>
      <c r="Q38" s="15" t="s">
        <v>271</v>
      </c>
    </row>
    <row r="39" spans="1:17" ht="54" customHeight="1" x14ac:dyDescent="0.2">
      <c r="A39" s="2">
        <v>45016</v>
      </c>
      <c r="B39" s="3" t="s">
        <v>41</v>
      </c>
      <c r="C39" s="4">
        <v>1</v>
      </c>
      <c r="D39" s="4">
        <v>0</v>
      </c>
      <c r="E39" s="4">
        <v>0</v>
      </c>
      <c r="F39" s="4">
        <v>0</v>
      </c>
      <c r="G39" s="3"/>
      <c r="H39" s="3" t="s">
        <v>277</v>
      </c>
      <c r="I39" s="6" t="s">
        <v>278</v>
      </c>
      <c r="J39" s="3" t="s">
        <v>279</v>
      </c>
      <c r="K39" s="3" t="s">
        <v>280</v>
      </c>
      <c r="L39" s="3" t="s">
        <v>281</v>
      </c>
      <c r="M39" s="3" t="s">
        <v>282</v>
      </c>
      <c r="N39" s="3" t="s">
        <v>86</v>
      </c>
      <c r="O39" s="3" t="s">
        <v>48</v>
      </c>
      <c r="P39" s="3" t="s">
        <v>283</v>
      </c>
      <c r="Q39" s="15" t="s">
        <v>284</v>
      </c>
    </row>
    <row r="40" spans="1:17" ht="54" customHeight="1" x14ac:dyDescent="0.2">
      <c r="A40" s="2">
        <v>45701</v>
      </c>
      <c r="B40" s="3" t="s">
        <v>72</v>
      </c>
      <c r="C40" s="4">
        <v>1</v>
      </c>
      <c r="D40" s="4">
        <v>0</v>
      </c>
      <c r="E40" s="4">
        <v>0</v>
      </c>
      <c r="F40" s="4">
        <v>0</v>
      </c>
      <c r="G40" s="3"/>
      <c r="H40" s="3" t="s">
        <v>177</v>
      </c>
      <c r="I40" s="6" t="s">
        <v>285</v>
      </c>
      <c r="J40" s="3" t="s">
        <v>286</v>
      </c>
      <c r="K40" s="3" t="s">
        <v>287</v>
      </c>
      <c r="L40" s="3" t="s">
        <v>288</v>
      </c>
      <c r="M40" s="3" t="s">
        <v>289</v>
      </c>
      <c r="N40" s="3" t="s">
        <v>25</v>
      </c>
      <c r="O40" s="3" t="s">
        <v>26</v>
      </c>
      <c r="P40" s="3" t="s">
        <v>290</v>
      </c>
      <c r="Q40" s="15" t="s">
        <v>291</v>
      </c>
    </row>
    <row r="41" spans="1:17" ht="54" customHeight="1" x14ac:dyDescent="0.2">
      <c r="A41" s="2">
        <v>45744</v>
      </c>
      <c r="B41" s="3" t="s">
        <v>72</v>
      </c>
      <c r="C41" s="4">
        <v>1</v>
      </c>
      <c r="D41" s="4">
        <v>0</v>
      </c>
      <c r="E41" s="4">
        <v>0</v>
      </c>
      <c r="F41" s="4">
        <v>0</v>
      </c>
      <c r="G41" s="3"/>
      <c r="H41" s="3" t="s">
        <v>292</v>
      </c>
      <c r="I41" s="6" t="s">
        <v>293</v>
      </c>
      <c r="J41" s="3" t="s">
        <v>294</v>
      </c>
      <c r="K41" s="3" t="s">
        <v>295</v>
      </c>
      <c r="L41" s="3" t="s">
        <v>296</v>
      </c>
      <c r="M41" s="3" t="s">
        <v>297</v>
      </c>
      <c r="N41" s="3" t="s">
        <v>25</v>
      </c>
      <c r="O41" s="3" t="s">
        <v>26</v>
      </c>
      <c r="P41" s="3" t="s">
        <v>298</v>
      </c>
      <c r="Q41" s="15" t="s">
        <v>291</v>
      </c>
    </row>
    <row r="42" spans="1:17" ht="54" customHeight="1" x14ac:dyDescent="0.2">
      <c r="A42" s="2">
        <v>45750</v>
      </c>
      <c r="B42" s="3" t="s">
        <v>192</v>
      </c>
      <c r="C42" s="4">
        <v>0</v>
      </c>
      <c r="D42" s="4">
        <v>0</v>
      </c>
      <c r="E42" s="4">
        <v>0</v>
      </c>
      <c r="F42" s="4">
        <v>1</v>
      </c>
      <c r="G42" s="5" t="s">
        <v>299</v>
      </c>
      <c r="H42" s="3" t="s">
        <v>177</v>
      </c>
      <c r="I42" s="6" t="s">
        <v>300</v>
      </c>
      <c r="J42" s="3" t="s">
        <v>301</v>
      </c>
      <c r="K42" s="3" t="s">
        <v>302</v>
      </c>
      <c r="L42" s="3" t="s">
        <v>303</v>
      </c>
      <c r="M42" s="3" t="s">
        <v>304</v>
      </c>
      <c r="N42" s="3" t="s">
        <v>25</v>
      </c>
      <c r="O42" s="3" t="s">
        <v>26</v>
      </c>
      <c r="P42" s="3" t="s">
        <v>305</v>
      </c>
      <c r="Q42" s="15" t="s">
        <v>306</v>
      </c>
    </row>
    <row r="43" spans="1:17" ht="54" customHeight="1" x14ac:dyDescent="0.2">
      <c r="A43" s="2">
        <v>45755</v>
      </c>
      <c r="B43" s="3" t="s">
        <v>116</v>
      </c>
      <c r="C43" s="4">
        <v>1</v>
      </c>
      <c r="D43" s="4">
        <v>0</v>
      </c>
      <c r="E43" s="4">
        <v>0</v>
      </c>
      <c r="F43" s="4">
        <v>0</v>
      </c>
      <c r="G43" s="3"/>
      <c r="H43" s="3" t="s">
        <v>177</v>
      </c>
      <c r="I43" s="6" t="s">
        <v>307</v>
      </c>
      <c r="J43" s="3" t="s">
        <v>308</v>
      </c>
      <c r="K43" s="3" t="s">
        <v>309</v>
      </c>
      <c r="L43" s="3" t="s">
        <v>310</v>
      </c>
      <c r="M43" s="3" t="s">
        <v>311</v>
      </c>
      <c r="N43" s="3" t="s">
        <v>25</v>
      </c>
      <c r="O43" s="3" t="s">
        <v>48</v>
      </c>
      <c r="P43" s="3" t="s">
        <v>312</v>
      </c>
      <c r="Q43" s="15" t="s">
        <v>313</v>
      </c>
    </row>
    <row r="44" spans="1:17" ht="54" customHeight="1" x14ac:dyDescent="0.2">
      <c r="A44" s="2">
        <v>45755</v>
      </c>
      <c r="B44" s="3" t="s">
        <v>116</v>
      </c>
      <c r="C44" s="4">
        <v>1</v>
      </c>
      <c r="D44" s="4">
        <v>0</v>
      </c>
      <c r="E44" s="4">
        <v>0</v>
      </c>
      <c r="F44" s="4">
        <v>0</v>
      </c>
      <c r="G44" s="3"/>
      <c r="H44" s="3" t="s">
        <v>177</v>
      </c>
      <c r="I44" s="6" t="s">
        <v>307</v>
      </c>
      <c r="J44" s="3" t="s">
        <v>314</v>
      </c>
      <c r="K44" s="3" t="s">
        <v>309</v>
      </c>
      <c r="L44" s="3" t="s">
        <v>315</v>
      </c>
      <c r="M44" s="3" t="s">
        <v>316</v>
      </c>
      <c r="N44" s="3" t="s">
        <v>25</v>
      </c>
      <c r="O44" s="3" t="s">
        <v>48</v>
      </c>
      <c r="P44" s="3" t="s">
        <v>312</v>
      </c>
      <c r="Q44" s="15" t="s">
        <v>313</v>
      </c>
    </row>
    <row r="45" spans="1:17" ht="54" customHeight="1" x14ac:dyDescent="0.2">
      <c r="A45" s="2">
        <v>45755</v>
      </c>
      <c r="B45" s="3" t="s">
        <v>317</v>
      </c>
      <c r="C45" s="4">
        <v>0</v>
      </c>
      <c r="D45" s="4">
        <v>1</v>
      </c>
      <c r="E45" s="4">
        <v>0</v>
      </c>
      <c r="F45" s="4">
        <v>0</v>
      </c>
      <c r="G45" s="3"/>
      <c r="H45" s="3" t="s">
        <v>318</v>
      </c>
      <c r="I45" s="6" t="s">
        <v>319</v>
      </c>
      <c r="J45" s="3" t="s">
        <v>320</v>
      </c>
      <c r="K45" s="3" t="s">
        <v>321</v>
      </c>
      <c r="L45" s="3" t="s">
        <v>322</v>
      </c>
      <c r="M45" s="3" t="s">
        <v>323</v>
      </c>
      <c r="N45" s="3" t="s">
        <v>25</v>
      </c>
      <c r="O45" s="3" t="s">
        <v>26</v>
      </c>
      <c r="P45" s="3" t="s">
        <v>324</v>
      </c>
      <c r="Q45" s="15" t="s">
        <v>325</v>
      </c>
    </row>
    <row r="46" spans="1:17" ht="54" customHeight="1" x14ac:dyDescent="0.2">
      <c r="A46" s="2">
        <v>45756</v>
      </c>
      <c r="B46" s="3" t="s">
        <v>28</v>
      </c>
      <c r="C46" s="4">
        <v>0</v>
      </c>
      <c r="D46" s="4">
        <v>1</v>
      </c>
      <c r="E46" s="4">
        <v>0</v>
      </c>
      <c r="F46" s="4">
        <v>0</v>
      </c>
      <c r="G46" s="3"/>
      <c r="H46" s="3" t="s">
        <v>177</v>
      </c>
      <c r="I46" s="6" t="s">
        <v>326</v>
      </c>
      <c r="J46" s="3" t="s">
        <v>327</v>
      </c>
      <c r="K46" s="3" t="s">
        <v>328</v>
      </c>
      <c r="L46" s="3" t="s">
        <v>329</v>
      </c>
      <c r="M46" s="3" t="s">
        <v>330</v>
      </c>
      <c r="N46" s="3" t="s">
        <v>25</v>
      </c>
      <c r="O46" s="3" t="s">
        <v>26</v>
      </c>
      <c r="P46" s="3" t="s">
        <v>331</v>
      </c>
      <c r="Q46" s="15" t="s">
        <v>332</v>
      </c>
    </row>
    <row r="47" spans="1:17" ht="54" customHeight="1" x14ac:dyDescent="0.2">
      <c r="A47" s="2">
        <v>45757</v>
      </c>
      <c r="B47" s="3" t="s">
        <v>246</v>
      </c>
      <c r="C47" s="4">
        <v>0</v>
      </c>
      <c r="D47" s="4">
        <v>0</v>
      </c>
      <c r="E47" s="4">
        <v>1</v>
      </c>
      <c r="F47" s="4">
        <v>0</v>
      </c>
      <c r="G47" s="3"/>
      <c r="H47" s="3" t="s">
        <v>246</v>
      </c>
      <c r="I47" s="6" t="s">
        <v>333</v>
      </c>
      <c r="J47" s="3" t="s">
        <v>334</v>
      </c>
      <c r="K47" s="3" t="s">
        <v>335</v>
      </c>
      <c r="L47" s="3" t="s">
        <v>336</v>
      </c>
      <c r="M47" s="3" t="s">
        <v>337</v>
      </c>
      <c r="N47" s="3" t="s">
        <v>25</v>
      </c>
      <c r="O47" s="3" t="s">
        <v>48</v>
      </c>
      <c r="P47" s="3" t="s">
        <v>338</v>
      </c>
      <c r="Q47" s="15" t="s">
        <v>333</v>
      </c>
    </row>
    <row r="48" spans="1:17" ht="54" customHeight="1" x14ac:dyDescent="0.2">
      <c r="A48" s="2">
        <v>45761</v>
      </c>
      <c r="B48" s="3" t="s">
        <v>116</v>
      </c>
      <c r="C48" s="4">
        <v>1</v>
      </c>
      <c r="D48" s="4">
        <v>0</v>
      </c>
      <c r="E48" s="4">
        <v>0</v>
      </c>
      <c r="F48" s="4">
        <v>0</v>
      </c>
      <c r="G48" s="3"/>
      <c r="H48" s="3" t="s">
        <v>177</v>
      </c>
      <c r="I48" s="6" t="s">
        <v>339</v>
      </c>
      <c r="J48" s="3" t="s">
        <v>340</v>
      </c>
      <c r="K48" s="3" t="s">
        <v>341</v>
      </c>
      <c r="L48" s="3" t="s">
        <v>342</v>
      </c>
      <c r="M48" s="3" t="s">
        <v>343</v>
      </c>
      <c r="N48" s="3" t="s">
        <v>25</v>
      </c>
      <c r="O48" s="3" t="s">
        <v>48</v>
      </c>
      <c r="P48" s="3" t="s">
        <v>344</v>
      </c>
      <c r="Q48" s="15" t="s">
        <v>313</v>
      </c>
    </row>
    <row r="49" spans="1:17" ht="54" customHeight="1" x14ac:dyDescent="0.2">
      <c r="A49" s="2">
        <v>45763</v>
      </c>
      <c r="B49" s="3" t="s">
        <v>317</v>
      </c>
      <c r="C49" s="4">
        <v>0</v>
      </c>
      <c r="D49" s="4">
        <v>1</v>
      </c>
      <c r="E49" s="4">
        <v>0</v>
      </c>
      <c r="F49" s="4">
        <v>0</v>
      </c>
      <c r="G49" s="3"/>
      <c r="H49" s="3" t="s">
        <v>345</v>
      </c>
      <c r="I49" s="6" t="s">
        <v>325</v>
      </c>
      <c r="J49" s="3" t="s">
        <v>346</v>
      </c>
      <c r="K49" s="3" t="s">
        <v>347</v>
      </c>
      <c r="L49" s="3" t="s">
        <v>348</v>
      </c>
      <c r="M49" s="3" t="s">
        <v>349</v>
      </c>
      <c r="N49" s="3" t="s">
        <v>25</v>
      </c>
      <c r="O49" s="3" t="s">
        <v>26</v>
      </c>
      <c r="P49" s="3" t="s">
        <v>350</v>
      </c>
      <c r="Q49" s="15" t="s">
        <v>325</v>
      </c>
    </row>
    <row r="50" spans="1:17" ht="54" customHeight="1" x14ac:dyDescent="0.2">
      <c r="A50" s="2">
        <v>45772</v>
      </c>
      <c r="B50" s="3" t="s">
        <v>41</v>
      </c>
      <c r="C50" s="4">
        <v>0</v>
      </c>
      <c r="D50" s="4">
        <v>1</v>
      </c>
      <c r="E50" s="4">
        <v>0</v>
      </c>
      <c r="F50" s="4">
        <v>0</v>
      </c>
      <c r="G50" s="3"/>
      <c r="H50" s="3" t="s">
        <v>177</v>
      </c>
      <c r="I50" s="6" t="s">
        <v>351</v>
      </c>
      <c r="J50" s="3" t="s">
        <v>352</v>
      </c>
      <c r="K50" s="3" t="s">
        <v>353</v>
      </c>
      <c r="L50" s="3" t="s">
        <v>354</v>
      </c>
      <c r="M50" s="3" t="s">
        <v>355</v>
      </c>
      <c r="N50" s="3" t="s">
        <v>25</v>
      </c>
      <c r="O50" s="3" t="s">
        <v>26</v>
      </c>
      <c r="P50" s="3" t="s">
        <v>356</v>
      </c>
      <c r="Q50" s="15" t="s">
        <v>357</v>
      </c>
    </row>
    <row r="51" spans="1:17" ht="54" customHeight="1" x14ac:dyDescent="0.2">
      <c r="A51" s="2">
        <v>45783</v>
      </c>
      <c r="B51" s="3" t="s">
        <v>358</v>
      </c>
      <c r="C51" s="4">
        <v>0</v>
      </c>
      <c r="D51" s="4">
        <v>0</v>
      </c>
      <c r="E51" s="4">
        <v>1</v>
      </c>
      <c r="F51" s="4">
        <v>0</v>
      </c>
      <c r="G51" s="3"/>
      <c r="H51" s="3" t="s">
        <v>177</v>
      </c>
      <c r="I51" s="6" t="s">
        <v>359</v>
      </c>
      <c r="J51" s="3" t="s">
        <v>360</v>
      </c>
      <c r="K51" s="3" t="s">
        <v>361</v>
      </c>
      <c r="L51" s="3" t="s">
        <v>362</v>
      </c>
      <c r="M51" s="3" t="s">
        <v>363</v>
      </c>
      <c r="N51" s="3" t="s">
        <v>25</v>
      </c>
      <c r="O51" s="3" t="s">
        <v>35</v>
      </c>
      <c r="P51" s="3" t="s">
        <v>364</v>
      </c>
      <c r="Q51" s="15" t="s">
        <v>365</v>
      </c>
    </row>
    <row r="52" spans="1:17" ht="54" customHeight="1" x14ac:dyDescent="0.2">
      <c r="A52" s="2">
        <v>45786</v>
      </c>
      <c r="B52" s="3" t="s">
        <v>72</v>
      </c>
      <c r="C52" s="4">
        <v>1</v>
      </c>
      <c r="D52" s="4">
        <v>0</v>
      </c>
      <c r="E52" s="4">
        <v>0</v>
      </c>
      <c r="F52" s="4">
        <v>0</v>
      </c>
      <c r="G52" s="3"/>
      <c r="H52" s="3" t="s">
        <v>177</v>
      </c>
      <c r="I52" s="6" t="s">
        <v>366</v>
      </c>
      <c r="J52" s="3" t="s">
        <v>367</v>
      </c>
      <c r="K52" s="3" t="s">
        <v>368</v>
      </c>
      <c r="L52" s="3" t="s">
        <v>369</v>
      </c>
      <c r="M52" s="3" t="s">
        <v>370</v>
      </c>
      <c r="N52" s="3" t="s">
        <v>25</v>
      </c>
      <c r="O52" s="3" t="s">
        <v>48</v>
      </c>
      <c r="P52" s="3" t="s">
        <v>371</v>
      </c>
      <c r="Q52" s="15" t="s">
        <v>372</v>
      </c>
    </row>
    <row r="53" spans="1:17" ht="54" customHeight="1" x14ac:dyDescent="0.2">
      <c r="A53" s="2">
        <v>45803</v>
      </c>
      <c r="B53" s="3" t="s">
        <v>246</v>
      </c>
      <c r="C53" s="4">
        <v>0</v>
      </c>
      <c r="D53" s="4">
        <v>0</v>
      </c>
      <c r="E53" s="4">
        <v>1</v>
      </c>
      <c r="F53" s="4">
        <v>0</v>
      </c>
      <c r="G53" s="3"/>
      <c r="H53" s="3" t="s">
        <v>246</v>
      </c>
      <c r="I53" s="6" t="s">
        <v>373</v>
      </c>
      <c r="J53" s="3" t="s">
        <v>374</v>
      </c>
      <c r="K53" s="3" t="s">
        <v>375</v>
      </c>
      <c r="L53" s="3" t="s">
        <v>376</v>
      </c>
      <c r="M53" s="3" t="s">
        <v>377</v>
      </c>
      <c r="N53" s="3" t="s">
        <v>25</v>
      </c>
      <c r="O53" s="3" t="s">
        <v>48</v>
      </c>
      <c r="P53" s="3" t="s">
        <v>378</v>
      </c>
      <c r="Q53" s="15" t="s">
        <v>373</v>
      </c>
    </row>
    <row r="54" spans="1:17" ht="54" customHeight="1" x14ac:dyDescent="0.2">
      <c r="A54" s="2">
        <v>45804</v>
      </c>
      <c r="B54" s="3" t="s">
        <v>246</v>
      </c>
      <c r="C54" s="4">
        <v>0</v>
      </c>
      <c r="D54" s="4">
        <v>0</v>
      </c>
      <c r="E54" s="4">
        <v>1</v>
      </c>
      <c r="F54" s="4">
        <v>0</v>
      </c>
      <c r="G54" s="3"/>
      <c r="H54" s="3" t="s">
        <v>177</v>
      </c>
      <c r="I54" s="6" t="s">
        <v>379</v>
      </c>
      <c r="J54" s="3" t="s">
        <v>380</v>
      </c>
      <c r="K54" s="3" t="s">
        <v>381</v>
      </c>
      <c r="L54" s="3" t="s">
        <v>382</v>
      </c>
      <c r="M54" s="3" t="s">
        <v>383</v>
      </c>
      <c r="N54" s="3" t="s">
        <v>25</v>
      </c>
      <c r="O54" s="3" t="s">
        <v>48</v>
      </c>
      <c r="P54" s="3" t="s">
        <v>384</v>
      </c>
      <c r="Q54" s="15" t="s">
        <v>373</v>
      </c>
    </row>
    <row r="55" spans="1:17" ht="54" customHeight="1" x14ac:dyDescent="0.2">
      <c r="A55" s="2">
        <v>45804</v>
      </c>
      <c r="B55" s="3" t="s">
        <v>385</v>
      </c>
      <c r="C55" s="4">
        <v>0</v>
      </c>
      <c r="D55" s="4">
        <v>0</v>
      </c>
      <c r="E55" s="4">
        <v>1</v>
      </c>
      <c r="F55" s="4">
        <v>0</v>
      </c>
      <c r="G55" s="3"/>
      <c r="H55" s="3" t="s">
        <v>246</v>
      </c>
      <c r="I55" s="6" t="s">
        <v>386</v>
      </c>
      <c r="J55" s="3" t="s">
        <v>387</v>
      </c>
      <c r="K55" s="3" t="s">
        <v>388</v>
      </c>
      <c r="L55" s="3" t="s">
        <v>389</v>
      </c>
      <c r="M55" s="3" t="s">
        <v>390</v>
      </c>
      <c r="N55" s="3" t="s">
        <v>25</v>
      </c>
      <c r="O55" s="3" t="s">
        <v>35</v>
      </c>
      <c r="P55" s="3" t="s">
        <v>391</v>
      </c>
      <c r="Q55" s="15" t="s">
        <v>386</v>
      </c>
    </row>
    <row r="56" spans="1:17" ht="54" customHeight="1" x14ac:dyDescent="0.2">
      <c r="A56" s="2">
        <v>45804</v>
      </c>
      <c r="B56" s="3" t="s">
        <v>392</v>
      </c>
      <c r="C56" s="4">
        <v>0</v>
      </c>
      <c r="D56" s="4">
        <v>0</v>
      </c>
      <c r="E56" s="4">
        <v>1</v>
      </c>
      <c r="F56" s="4">
        <v>0</v>
      </c>
      <c r="G56" s="3"/>
      <c r="H56" s="3" t="s">
        <v>246</v>
      </c>
      <c r="I56" s="6" t="s">
        <v>393</v>
      </c>
      <c r="J56" s="3" t="s">
        <v>394</v>
      </c>
      <c r="K56" s="3" t="s">
        <v>395</v>
      </c>
      <c r="L56" s="3" t="s">
        <v>396</v>
      </c>
      <c r="M56" s="3" t="s">
        <v>397</v>
      </c>
      <c r="N56" s="3" t="s">
        <v>25</v>
      </c>
      <c r="O56" s="3" t="s">
        <v>35</v>
      </c>
      <c r="P56" s="3" t="s">
        <v>398</v>
      </c>
      <c r="Q56" s="15" t="s">
        <v>399</v>
      </c>
    </row>
    <row r="57" spans="1:17" ht="54" customHeight="1" x14ac:dyDescent="0.2">
      <c r="A57" s="2">
        <v>45841</v>
      </c>
      <c r="B57" s="3" t="s">
        <v>79</v>
      </c>
      <c r="C57" s="4">
        <v>1</v>
      </c>
      <c r="D57" s="4">
        <v>0</v>
      </c>
      <c r="E57" s="4">
        <v>0</v>
      </c>
      <c r="F57" s="4">
        <v>0</v>
      </c>
      <c r="G57" s="3"/>
      <c r="H57" s="3" t="s">
        <v>177</v>
      </c>
      <c r="I57" s="6" t="s">
        <v>400</v>
      </c>
      <c r="J57" s="3" t="s">
        <v>401</v>
      </c>
      <c r="K57" s="3" t="s">
        <v>402</v>
      </c>
      <c r="L57" s="3" t="s">
        <v>403</v>
      </c>
      <c r="M57" s="3" t="s">
        <v>404</v>
      </c>
      <c r="N57" s="3" t="s">
        <v>25</v>
      </c>
      <c r="O57" s="3" t="s">
        <v>61</v>
      </c>
      <c r="P57" s="3" t="s">
        <v>405</v>
      </c>
      <c r="Q57" s="15" t="s">
        <v>406</v>
      </c>
    </row>
    <row r="58" spans="1:17" ht="54" customHeight="1" x14ac:dyDescent="0.2">
      <c r="A58" s="2">
        <v>45848</v>
      </c>
      <c r="B58" s="3" t="s">
        <v>17</v>
      </c>
      <c r="C58" s="4">
        <v>1</v>
      </c>
      <c r="D58" s="4">
        <v>1</v>
      </c>
      <c r="E58" s="4">
        <v>0</v>
      </c>
      <c r="F58" s="4">
        <v>0</v>
      </c>
      <c r="G58" s="3"/>
      <c r="H58" s="3" t="s">
        <v>177</v>
      </c>
      <c r="I58" s="6" t="s">
        <v>407</v>
      </c>
      <c r="J58" s="3" t="s">
        <v>408</v>
      </c>
      <c r="K58" s="3" t="s">
        <v>409</v>
      </c>
      <c r="L58" s="3" t="s">
        <v>410</v>
      </c>
      <c r="M58" s="3" t="s">
        <v>411</v>
      </c>
      <c r="N58" s="3" t="s">
        <v>25</v>
      </c>
      <c r="O58" s="3" t="s">
        <v>26</v>
      </c>
      <c r="P58" s="3" t="s">
        <v>412</v>
      </c>
      <c r="Q58" s="15" t="s">
        <v>413</v>
      </c>
    </row>
    <row r="59" spans="1:17" ht="54" customHeight="1" x14ac:dyDescent="0.2">
      <c r="A59" s="2">
        <v>45860</v>
      </c>
      <c r="B59" s="3" t="s">
        <v>79</v>
      </c>
      <c r="C59" s="4">
        <v>1</v>
      </c>
      <c r="D59" s="4">
        <v>0</v>
      </c>
      <c r="E59" s="4">
        <v>0</v>
      </c>
      <c r="F59" s="4">
        <v>0</v>
      </c>
      <c r="G59" s="3"/>
      <c r="H59" s="3" t="s">
        <v>177</v>
      </c>
      <c r="I59" s="6" t="s">
        <v>414</v>
      </c>
      <c r="J59" s="3" t="s">
        <v>415</v>
      </c>
      <c r="K59" s="3" t="s">
        <v>416</v>
      </c>
      <c r="L59" s="3" t="s">
        <v>417</v>
      </c>
      <c r="M59" s="3" t="s">
        <v>418</v>
      </c>
      <c r="N59" s="3" t="s">
        <v>25</v>
      </c>
      <c r="O59" s="3" t="s">
        <v>206</v>
      </c>
      <c r="P59" s="3" t="s">
        <v>419</v>
      </c>
      <c r="Q59" s="15" t="s">
        <v>406</v>
      </c>
    </row>
    <row r="60" spans="1:17" ht="54" customHeight="1" x14ac:dyDescent="0.2">
      <c r="A60" s="2">
        <v>45860</v>
      </c>
      <c r="B60" s="3" t="s">
        <v>90</v>
      </c>
      <c r="C60" s="4">
        <v>1</v>
      </c>
      <c r="D60" s="4">
        <v>0</v>
      </c>
      <c r="E60" s="4">
        <v>0</v>
      </c>
      <c r="F60" s="4">
        <v>0</v>
      </c>
      <c r="G60" s="3"/>
      <c r="H60" s="3" t="s">
        <v>177</v>
      </c>
      <c r="I60" s="6" t="s">
        <v>420</v>
      </c>
      <c r="J60" s="3" t="s">
        <v>421</v>
      </c>
      <c r="K60" s="3" t="s">
        <v>422</v>
      </c>
      <c r="L60" s="3" t="s">
        <v>423</v>
      </c>
      <c r="M60" s="3" t="s">
        <v>424</v>
      </c>
      <c r="N60" s="3" t="s">
        <v>25</v>
      </c>
      <c r="O60" s="3" t="s">
        <v>206</v>
      </c>
      <c r="P60" s="3" t="s">
        <v>425</v>
      </c>
      <c r="Q60" s="15" t="s">
        <v>426</v>
      </c>
    </row>
    <row r="61" spans="1:17" ht="54" customHeight="1" x14ac:dyDescent="0.2">
      <c r="A61" s="2">
        <v>45861</v>
      </c>
      <c r="B61" s="3" t="s">
        <v>41</v>
      </c>
      <c r="C61" s="4">
        <v>1</v>
      </c>
      <c r="D61" s="4">
        <v>0</v>
      </c>
      <c r="E61" s="4">
        <v>0</v>
      </c>
      <c r="F61" s="4">
        <v>0</v>
      </c>
      <c r="G61" s="3"/>
      <c r="H61" s="3" t="s">
        <v>177</v>
      </c>
      <c r="I61" s="6" t="s">
        <v>427</v>
      </c>
      <c r="J61" s="3" t="s">
        <v>428</v>
      </c>
      <c r="K61" s="3" t="s">
        <v>429</v>
      </c>
      <c r="L61" s="3" t="s">
        <v>430</v>
      </c>
      <c r="M61" s="3" t="s">
        <v>431</v>
      </c>
      <c r="N61" s="3" t="s">
        <v>25</v>
      </c>
      <c r="O61" s="3" t="s">
        <v>61</v>
      </c>
      <c r="P61" s="3" t="s">
        <v>432</v>
      </c>
      <c r="Q61" s="15" t="s">
        <v>433</v>
      </c>
    </row>
    <row r="62" spans="1:17" ht="54" customHeight="1" x14ac:dyDescent="0.2">
      <c r="A62" s="2">
        <v>45868</v>
      </c>
      <c r="B62" s="3" t="s">
        <v>28</v>
      </c>
      <c r="C62" s="4">
        <v>1</v>
      </c>
      <c r="D62" s="4">
        <v>0</v>
      </c>
      <c r="E62" s="4">
        <v>0</v>
      </c>
      <c r="F62" s="4">
        <v>0</v>
      </c>
      <c r="G62" s="3"/>
      <c r="H62" s="3" t="s">
        <v>177</v>
      </c>
      <c r="I62" s="6" t="s">
        <v>434</v>
      </c>
      <c r="J62" s="3" t="s">
        <v>435</v>
      </c>
      <c r="K62" s="3" t="s">
        <v>436</v>
      </c>
      <c r="L62" s="3" t="s">
        <v>437</v>
      </c>
      <c r="M62" s="3" t="s">
        <v>438</v>
      </c>
      <c r="N62" s="3" t="s">
        <v>25</v>
      </c>
      <c r="O62" s="3" t="s">
        <v>61</v>
      </c>
      <c r="P62" s="3" t="s">
        <v>439</v>
      </c>
      <c r="Q62" s="15" t="s">
        <v>440</v>
      </c>
    </row>
    <row r="63" spans="1:17" ht="54" customHeight="1" x14ac:dyDescent="0.2">
      <c r="A63" s="2">
        <v>45868</v>
      </c>
      <c r="B63" s="3" t="s">
        <v>28</v>
      </c>
      <c r="C63" s="4">
        <v>1</v>
      </c>
      <c r="D63" s="4">
        <v>0</v>
      </c>
      <c r="E63" s="4">
        <v>0</v>
      </c>
      <c r="F63" s="4">
        <v>0</v>
      </c>
      <c r="G63" s="3"/>
      <c r="H63" s="3" t="s">
        <v>177</v>
      </c>
      <c r="I63" s="6" t="s">
        <v>434</v>
      </c>
      <c r="J63" s="3" t="s">
        <v>441</v>
      </c>
      <c r="K63" s="3" t="s">
        <v>436</v>
      </c>
      <c r="L63" s="3" t="s">
        <v>442</v>
      </c>
      <c r="M63" s="3" t="s">
        <v>443</v>
      </c>
      <c r="N63" s="3" t="s">
        <v>25</v>
      </c>
      <c r="O63" s="3" t="s">
        <v>61</v>
      </c>
      <c r="P63" s="3" t="s">
        <v>444</v>
      </c>
      <c r="Q63" s="15" t="s">
        <v>440</v>
      </c>
    </row>
    <row r="64" spans="1:17" ht="54" customHeight="1" x14ac:dyDescent="0.2">
      <c r="A64" s="2">
        <v>45956</v>
      </c>
      <c r="B64" s="3" t="s">
        <v>116</v>
      </c>
      <c r="C64" s="4">
        <v>1</v>
      </c>
      <c r="D64" s="4">
        <v>0</v>
      </c>
      <c r="E64" s="4">
        <v>0</v>
      </c>
      <c r="F64" s="4">
        <v>0</v>
      </c>
      <c r="G64" s="3"/>
      <c r="H64" s="3" t="s">
        <v>445</v>
      </c>
      <c r="I64" s="6" t="s">
        <v>446</v>
      </c>
      <c r="J64" s="3" t="s">
        <v>447</v>
      </c>
      <c r="K64" s="3" t="s">
        <v>422</v>
      </c>
      <c r="L64" s="3" t="s">
        <v>448</v>
      </c>
      <c r="M64" s="3" t="s">
        <v>449</v>
      </c>
      <c r="N64" s="3" t="s">
        <v>25</v>
      </c>
      <c r="O64" s="3" t="s">
        <v>206</v>
      </c>
      <c r="P64" s="3" t="s">
        <v>450</v>
      </c>
      <c r="Q64" s="15" t="s">
        <v>446</v>
      </c>
    </row>
    <row r="65" spans="1:17" ht="54" customHeight="1" x14ac:dyDescent="0.2">
      <c r="A65" s="2">
        <v>45956</v>
      </c>
      <c r="B65" s="3" t="s">
        <v>116</v>
      </c>
      <c r="C65" s="4">
        <v>1</v>
      </c>
      <c r="D65" s="4">
        <v>1</v>
      </c>
      <c r="E65" s="4">
        <v>0</v>
      </c>
      <c r="F65" s="4">
        <v>0</v>
      </c>
      <c r="G65" s="3"/>
      <c r="H65" s="3" t="s">
        <v>445</v>
      </c>
      <c r="I65" s="6" t="s">
        <v>446</v>
      </c>
      <c r="J65" s="3" t="s">
        <v>451</v>
      </c>
      <c r="K65" s="3" t="s">
        <v>452</v>
      </c>
      <c r="L65" s="3" t="s">
        <v>453</v>
      </c>
      <c r="M65" s="3" t="s">
        <v>454</v>
      </c>
      <c r="N65" s="3" t="s">
        <v>25</v>
      </c>
      <c r="O65" s="3" t="s">
        <v>48</v>
      </c>
      <c r="P65" s="3" t="s">
        <v>455</v>
      </c>
      <c r="Q65" s="15" t="s">
        <v>446</v>
      </c>
    </row>
    <row r="66" spans="1:17" ht="54" customHeight="1" x14ac:dyDescent="0.2">
      <c r="A66" s="2">
        <v>46055</v>
      </c>
      <c r="B66" s="3" t="s">
        <v>72</v>
      </c>
      <c r="C66" s="4">
        <v>1</v>
      </c>
      <c r="D66" s="4">
        <v>0</v>
      </c>
      <c r="E66" s="4">
        <v>0</v>
      </c>
      <c r="F66" s="4">
        <v>0</v>
      </c>
      <c r="G66" s="3"/>
      <c r="H66" s="3" t="s">
        <v>177</v>
      </c>
      <c r="I66" s="6" t="s">
        <v>456</v>
      </c>
      <c r="J66" s="3" t="s">
        <v>457</v>
      </c>
      <c r="K66" s="3" t="s">
        <v>458</v>
      </c>
      <c r="L66" s="3" t="s">
        <v>459</v>
      </c>
      <c r="M66" s="3" t="s">
        <v>460</v>
      </c>
      <c r="N66" s="3" t="s">
        <v>25</v>
      </c>
      <c r="O66" s="3" t="s">
        <v>61</v>
      </c>
      <c r="P66" s="3" t="s">
        <v>461</v>
      </c>
      <c r="Q66" s="15" t="s">
        <v>462</v>
      </c>
    </row>
    <row r="67" spans="1:17" ht="54" customHeight="1" x14ac:dyDescent="0.2">
      <c r="A67" s="2">
        <v>46055</v>
      </c>
      <c r="B67" s="3" t="s">
        <v>72</v>
      </c>
      <c r="C67" s="4">
        <v>1</v>
      </c>
      <c r="D67" s="4">
        <v>1</v>
      </c>
      <c r="E67" s="4">
        <v>0</v>
      </c>
      <c r="F67" s="4">
        <v>0</v>
      </c>
      <c r="G67" s="3"/>
      <c r="H67" s="3" t="s">
        <v>177</v>
      </c>
      <c r="I67" s="6" t="s">
        <v>456</v>
      </c>
      <c r="J67" s="3" t="s">
        <v>463</v>
      </c>
      <c r="K67" s="3" t="s">
        <v>464</v>
      </c>
      <c r="L67" s="3" t="s">
        <v>465</v>
      </c>
      <c r="M67" s="3" t="s">
        <v>466</v>
      </c>
      <c r="N67" s="3" t="s">
        <v>86</v>
      </c>
      <c r="O67" s="3" t="s">
        <v>61</v>
      </c>
      <c r="P67" s="3" t="s">
        <v>467</v>
      </c>
      <c r="Q67" s="15" t="s">
        <v>468</v>
      </c>
    </row>
    <row r="68" spans="1:17" ht="54" customHeight="1" x14ac:dyDescent="0.2">
      <c r="A68" s="2">
        <v>46098</v>
      </c>
      <c r="B68" s="3" t="s">
        <v>79</v>
      </c>
      <c r="C68" s="4">
        <v>0</v>
      </c>
      <c r="D68" s="4">
        <v>0</v>
      </c>
      <c r="E68" s="4">
        <v>0</v>
      </c>
      <c r="F68" s="4">
        <v>1</v>
      </c>
      <c r="G68" s="5" t="s">
        <v>80</v>
      </c>
      <c r="H68" s="3" t="s">
        <v>469</v>
      </c>
      <c r="I68" s="6" t="s">
        <v>470</v>
      </c>
      <c r="J68" s="3" t="s">
        <v>471</v>
      </c>
      <c r="K68" s="3" t="s">
        <v>472</v>
      </c>
      <c r="L68" s="3" t="s">
        <v>473</v>
      </c>
      <c r="M68" s="3" t="s">
        <v>474</v>
      </c>
      <c r="N68" s="3" t="s">
        <v>25</v>
      </c>
      <c r="O68" s="3" t="s">
        <v>48</v>
      </c>
      <c r="P68" s="3" t="s">
        <v>475</v>
      </c>
      <c r="Q68" s="15" t="s">
        <v>476</v>
      </c>
    </row>
    <row r="69" spans="1:17" ht="54" customHeight="1" x14ac:dyDescent="0.2">
      <c r="A69" s="2">
        <v>46101</v>
      </c>
      <c r="B69" s="3" t="s">
        <v>28</v>
      </c>
      <c r="C69" s="4">
        <v>0</v>
      </c>
      <c r="D69" s="4">
        <v>1</v>
      </c>
      <c r="E69" s="4">
        <v>0</v>
      </c>
      <c r="F69" s="4">
        <v>0</v>
      </c>
      <c r="G69" s="3"/>
      <c r="H69" s="3" t="s">
        <v>477</v>
      </c>
      <c r="I69" s="6" t="s">
        <v>478</v>
      </c>
      <c r="J69" s="3" t="s">
        <v>479</v>
      </c>
      <c r="K69" s="3" t="s">
        <v>472</v>
      </c>
      <c r="L69" s="3" t="s">
        <v>480</v>
      </c>
      <c r="M69" s="3" t="s">
        <v>481</v>
      </c>
      <c r="N69" s="3" t="s">
        <v>25</v>
      </c>
      <c r="O69" s="3" t="s">
        <v>48</v>
      </c>
      <c r="P69" s="3" t="s">
        <v>482</v>
      </c>
      <c r="Q69" s="15" t="s">
        <v>476</v>
      </c>
    </row>
  </sheetData>
  <autoFilter ref="A1:Q69" xr:uid="{00000000-0009-0000-0000-000000000000}"/>
  <hyperlinks>
    <hyperlink ref="I2" r:id="rId1" xr:uid="{00000000-0004-0000-0000-000000000000}"/>
    <hyperlink ref="Q2" r:id="rId2" xr:uid="{00000000-0004-0000-0000-000001000000}"/>
    <hyperlink ref="I3" r:id="rId3" xr:uid="{00000000-0004-0000-0000-000002000000}"/>
    <hyperlink ref="Q3" r:id="rId4" xr:uid="{00000000-0004-0000-0000-000003000000}"/>
    <hyperlink ref="I4" r:id="rId5" xr:uid="{00000000-0004-0000-0000-000004000000}"/>
    <hyperlink ref="Q4" r:id="rId6" xr:uid="{00000000-0004-0000-0000-000005000000}"/>
    <hyperlink ref="I5" r:id="rId7" xr:uid="{00000000-0004-0000-0000-000006000000}"/>
    <hyperlink ref="Q5" r:id="rId8" xr:uid="{00000000-0004-0000-0000-000007000000}"/>
    <hyperlink ref="I6" r:id="rId9" xr:uid="{00000000-0004-0000-0000-000008000000}"/>
    <hyperlink ref="Q6" r:id="rId10" xr:uid="{00000000-0004-0000-0000-000009000000}"/>
    <hyperlink ref="I7" r:id="rId11" xr:uid="{00000000-0004-0000-0000-00000A000000}"/>
    <hyperlink ref="Q7" r:id="rId12" xr:uid="{00000000-0004-0000-0000-00000B000000}"/>
    <hyperlink ref="I8" r:id="rId13" xr:uid="{00000000-0004-0000-0000-00000C000000}"/>
    <hyperlink ref="Q8" r:id="rId14" xr:uid="{00000000-0004-0000-0000-00000D000000}"/>
    <hyperlink ref="I9" r:id="rId15" xr:uid="{00000000-0004-0000-0000-00000E000000}"/>
    <hyperlink ref="Q9" r:id="rId16" xr:uid="{00000000-0004-0000-0000-00000F000000}"/>
    <hyperlink ref="I10" r:id="rId17" xr:uid="{00000000-0004-0000-0000-000010000000}"/>
    <hyperlink ref="Q10" r:id="rId18" xr:uid="{00000000-0004-0000-0000-000011000000}"/>
    <hyperlink ref="I11" r:id="rId19" xr:uid="{00000000-0004-0000-0000-000012000000}"/>
    <hyperlink ref="Q11" r:id="rId20" xr:uid="{00000000-0004-0000-0000-000013000000}"/>
    <hyperlink ref="I12" r:id="rId21" xr:uid="{00000000-0004-0000-0000-000014000000}"/>
    <hyperlink ref="Q12" r:id="rId22" xr:uid="{00000000-0004-0000-0000-000015000000}"/>
    <hyperlink ref="I13" r:id="rId23" xr:uid="{00000000-0004-0000-0000-000016000000}"/>
    <hyperlink ref="Q13" r:id="rId24" xr:uid="{00000000-0004-0000-0000-000017000000}"/>
    <hyperlink ref="I14" r:id="rId25" xr:uid="{00000000-0004-0000-0000-000018000000}"/>
    <hyperlink ref="Q14" r:id="rId26" xr:uid="{00000000-0004-0000-0000-000019000000}"/>
    <hyperlink ref="I15" r:id="rId27" xr:uid="{00000000-0004-0000-0000-00001A000000}"/>
    <hyperlink ref="Q15" r:id="rId28" xr:uid="{00000000-0004-0000-0000-00001B000000}"/>
    <hyperlink ref="I16" r:id="rId29" xr:uid="{00000000-0004-0000-0000-00001C000000}"/>
    <hyperlink ref="Q16" r:id="rId30" xr:uid="{00000000-0004-0000-0000-00001D000000}"/>
    <hyperlink ref="I17" r:id="rId31" xr:uid="{00000000-0004-0000-0000-00001E000000}"/>
    <hyperlink ref="Q17" r:id="rId32" xr:uid="{00000000-0004-0000-0000-00001F000000}"/>
    <hyperlink ref="I18" r:id="rId33" xr:uid="{00000000-0004-0000-0000-000020000000}"/>
    <hyperlink ref="Q18" r:id="rId34" xr:uid="{00000000-0004-0000-0000-000021000000}"/>
    <hyperlink ref="I19" r:id="rId35" xr:uid="{00000000-0004-0000-0000-000022000000}"/>
    <hyperlink ref="Q19" r:id="rId36" xr:uid="{00000000-0004-0000-0000-000023000000}"/>
    <hyperlink ref="I20" r:id="rId37" xr:uid="{00000000-0004-0000-0000-000024000000}"/>
    <hyperlink ref="Q20" r:id="rId38" xr:uid="{00000000-0004-0000-0000-000025000000}"/>
    <hyperlink ref="I21" r:id="rId39" xr:uid="{00000000-0004-0000-0000-000026000000}"/>
    <hyperlink ref="Q21" r:id="rId40" xr:uid="{00000000-0004-0000-0000-000027000000}"/>
    <hyperlink ref="I22" r:id="rId41" xr:uid="{00000000-0004-0000-0000-000028000000}"/>
    <hyperlink ref="Q22" r:id="rId42" xr:uid="{00000000-0004-0000-0000-000029000000}"/>
    <hyperlink ref="I23" r:id="rId43" xr:uid="{00000000-0004-0000-0000-00002A000000}"/>
    <hyperlink ref="Q23" r:id="rId44" xr:uid="{00000000-0004-0000-0000-00002B000000}"/>
    <hyperlink ref="I24" r:id="rId45" xr:uid="{00000000-0004-0000-0000-00002C000000}"/>
    <hyperlink ref="Q24" r:id="rId46" xr:uid="{00000000-0004-0000-0000-00002D000000}"/>
    <hyperlink ref="I25" r:id="rId47" xr:uid="{00000000-0004-0000-0000-00002E000000}"/>
    <hyperlink ref="Q25" r:id="rId48" xr:uid="{00000000-0004-0000-0000-00002F000000}"/>
    <hyperlink ref="I26" r:id="rId49" xr:uid="{00000000-0004-0000-0000-000030000000}"/>
    <hyperlink ref="Q26" r:id="rId50" xr:uid="{00000000-0004-0000-0000-000031000000}"/>
    <hyperlink ref="I27" r:id="rId51" xr:uid="{00000000-0004-0000-0000-000032000000}"/>
    <hyperlink ref="Q27" r:id="rId52" xr:uid="{00000000-0004-0000-0000-000033000000}"/>
    <hyperlink ref="I28" r:id="rId53" xr:uid="{00000000-0004-0000-0000-000034000000}"/>
    <hyperlink ref="Q28" r:id="rId54" xr:uid="{00000000-0004-0000-0000-000035000000}"/>
    <hyperlink ref="I29" r:id="rId55" xr:uid="{00000000-0004-0000-0000-000036000000}"/>
    <hyperlink ref="Q29" r:id="rId56" xr:uid="{00000000-0004-0000-0000-000037000000}"/>
    <hyperlink ref="I30" r:id="rId57" xr:uid="{00000000-0004-0000-0000-000038000000}"/>
    <hyperlink ref="Q30" r:id="rId58" xr:uid="{00000000-0004-0000-0000-000039000000}"/>
    <hyperlink ref="I31" r:id="rId59" xr:uid="{00000000-0004-0000-0000-00003A000000}"/>
    <hyperlink ref="Q31" r:id="rId60" xr:uid="{00000000-0004-0000-0000-00003B000000}"/>
    <hyperlink ref="I32" r:id="rId61" xr:uid="{00000000-0004-0000-0000-00003C000000}"/>
    <hyperlink ref="Q32" r:id="rId62" xr:uid="{00000000-0004-0000-0000-00003D000000}"/>
    <hyperlink ref="I33" r:id="rId63" xr:uid="{00000000-0004-0000-0000-00003E000000}"/>
    <hyperlink ref="Q33" r:id="rId64" xr:uid="{00000000-0004-0000-0000-00003F000000}"/>
    <hyperlink ref="I34" r:id="rId65" xr:uid="{00000000-0004-0000-0000-000040000000}"/>
    <hyperlink ref="Q34" r:id="rId66" xr:uid="{00000000-0004-0000-0000-000041000000}"/>
    <hyperlink ref="I35" r:id="rId67" xr:uid="{00000000-0004-0000-0000-000042000000}"/>
    <hyperlink ref="Q35" r:id="rId68" xr:uid="{00000000-0004-0000-0000-000043000000}"/>
    <hyperlink ref="I36" r:id="rId69" xr:uid="{00000000-0004-0000-0000-000044000000}"/>
    <hyperlink ref="Q36" r:id="rId70" xr:uid="{00000000-0004-0000-0000-000045000000}"/>
    <hyperlink ref="I37" r:id="rId71" xr:uid="{00000000-0004-0000-0000-000046000000}"/>
    <hyperlink ref="Q37" r:id="rId72" xr:uid="{00000000-0004-0000-0000-000047000000}"/>
    <hyperlink ref="I38" r:id="rId73" xr:uid="{00000000-0004-0000-0000-000048000000}"/>
    <hyperlink ref="Q38" r:id="rId74" xr:uid="{00000000-0004-0000-0000-000049000000}"/>
    <hyperlink ref="I39" r:id="rId75" xr:uid="{00000000-0004-0000-0000-00004A000000}"/>
    <hyperlink ref="Q39" r:id="rId76" xr:uid="{00000000-0004-0000-0000-00004B000000}"/>
    <hyperlink ref="I40" r:id="rId77" xr:uid="{00000000-0004-0000-0000-00004C000000}"/>
    <hyperlink ref="Q40" r:id="rId78" xr:uid="{00000000-0004-0000-0000-00004D000000}"/>
    <hyperlink ref="I41" r:id="rId79" xr:uid="{00000000-0004-0000-0000-00004E000000}"/>
    <hyperlink ref="Q41" r:id="rId80" xr:uid="{00000000-0004-0000-0000-00004F000000}"/>
    <hyperlink ref="I42" r:id="rId81" xr:uid="{00000000-0004-0000-0000-000050000000}"/>
    <hyperlink ref="Q42" r:id="rId82" xr:uid="{00000000-0004-0000-0000-000051000000}"/>
    <hyperlink ref="I43" r:id="rId83" xr:uid="{00000000-0004-0000-0000-000052000000}"/>
    <hyperlink ref="Q43" r:id="rId84" xr:uid="{00000000-0004-0000-0000-000053000000}"/>
    <hyperlink ref="I44" r:id="rId85" xr:uid="{00000000-0004-0000-0000-000054000000}"/>
    <hyperlink ref="Q44" r:id="rId86" xr:uid="{00000000-0004-0000-0000-000055000000}"/>
    <hyperlink ref="I45" r:id="rId87" xr:uid="{00000000-0004-0000-0000-000056000000}"/>
    <hyperlink ref="Q45" r:id="rId88" xr:uid="{00000000-0004-0000-0000-000057000000}"/>
    <hyperlink ref="I46" r:id="rId89" xr:uid="{00000000-0004-0000-0000-000058000000}"/>
    <hyperlink ref="Q46" r:id="rId90" xr:uid="{00000000-0004-0000-0000-000059000000}"/>
    <hyperlink ref="I47" r:id="rId91" xr:uid="{00000000-0004-0000-0000-00005A000000}"/>
    <hyperlink ref="Q47" r:id="rId92" xr:uid="{00000000-0004-0000-0000-00005B000000}"/>
    <hyperlink ref="I48" r:id="rId93" xr:uid="{00000000-0004-0000-0000-00005C000000}"/>
    <hyperlink ref="Q48" r:id="rId94" xr:uid="{00000000-0004-0000-0000-00005D000000}"/>
    <hyperlink ref="I49" r:id="rId95" xr:uid="{00000000-0004-0000-0000-00005E000000}"/>
    <hyperlink ref="Q49" r:id="rId96" xr:uid="{00000000-0004-0000-0000-00005F000000}"/>
    <hyperlink ref="I50" r:id="rId97" xr:uid="{00000000-0004-0000-0000-000060000000}"/>
    <hyperlink ref="Q50" r:id="rId98" xr:uid="{00000000-0004-0000-0000-000061000000}"/>
    <hyperlink ref="I51" r:id="rId99" xr:uid="{00000000-0004-0000-0000-000062000000}"/>
    <hyperlink ref="Q51" r:id="rId100" xr:uid="{00000000-0004-0000-0000-000063000000}"/>
    <hyperlink ref="I52" r:id="rId101" xr:uid="{00000000-0004-0000-0000-000064000000}"/>
    <hyperlink ref="Q52" r:id="rId102" xr:uid="{00000000-0004-0000-0000-000065000000}"/>
    <hyperlink ref="I53" r:id="rId103" xr:uid="{00000000-0004-0000-0000-000066000000}"/>
    <hyperlink ref="Q53" r:id="rId104" xr:uid="{00000000-0004-0000-0000-000067000000}"/>
    <hyperlink ref="I54" r:id="rId105" xr:uid="{00000000-0004-0000-0000-000068000000}"/>
    <hyperlink ref="Q54" r:id="rId106" xr:uid="{00000000-0004-0000-0000-000069000000}"/>
    <hyperlink ref="I55" r:id="rId107" xr:uid="{00000000-0004-0000-0000-00006A000000}"/>
    <hyperlink ref="Q55" r:id="rId108" xr:uid="{00000000-0004-0000-0000-00006B000000}"/>
    <hyperlink ref="I56" r:id="rId109" xr:uid="{00000000-0004-0000-0000-00006C000000}"/>
    <hyperlink ref="Q56" r:id="rId110" xr:uid="{00000000-0004-0000-0000-00006D000000}"/>
    <hyperlink ref="I57" r:id="rId111" xr:uid="{00000000-0004-0000-0000-00006E000000}"/>
    <hyperlink ref="Q57" r:id="rId112" xr:uid="{00000000-0004-0000-0000-00006F000000}"/>
    <hyperlink ref="I58" r:id="rId113" xr:uid="{00000000-0004-0000-0000-000070000000}"/>
    <hyperlink ref="Q58" r:id="rId114" xr:uid="{00000000-0004-0000-0000-000071000000}"/>
    <hyperlink ref="I59" r:id="rId115" xr:uid="{00000000-0004-0000-0000-000072000000}"/>
    <hyperlink ref="Q59" r:id="rId116" xr:uid="{00000000-0004-0000-0000-000073000000}"/>
    <hyperlink ref="I60" r:id="rId117" xr:uid="{00000000-0004-0000-0000-000074000000}"/>
    <hyperlink ref="Q60" r:id="rId118" xr:uid="{00000000-0004-0000-0000-000075000000}"/>
    <hyperlink ref="I61" r:id="rId119" xr:uid="{00000000-0004-0000-0000-000076000000}"/>
    <hyperlink ref="Q61" r:id="rId120" xr:uid="{00000000-0004-0000-0000-000077000000}"/>
    <hyperlink ref="I62" r:id="rId121" xr:uid="{00000000-0004-0000-0000-000078000000}"/>
    <hyperlink ref="Q62" r:id="rId122" xr:uid="{00000000-0004-0000-0000-000079000000}"/>
    <hyperlink ref="I63" r:id="rId123" xr:uid="{00000000-0004-0000-0000-00007A000000}"/>
    <hyperlink ref="Q63" r:id="rId124" xr:uid="{00000000-0004-0000-0000-00007B000000}"/>
    <hyperlink ref="I64" r:id="rId125" xr:uid="{00000000-0004-0000-0000-00007C000000}"/>
    <hyperlink ref="Q64" r:id="rId126" xr:uid="{00000000-0004-0000-0000-00007D000000}"/>
    <hyperlink ref="I65" r:id="rId127" xr:uid="{00000000-0004-0000-0000-00007E000000}"/>
    <hyperlink ref="Q65" r:id="rId128" xr:uid="{00000000-0004-0000-0000-00007F000000}"/>
    <hyperlink ref="I66" r:id="rId129" xr:uid="{00000000-0004-0000-0000-000080000000}"/>
    <hyperlink ref="Q66" r:id="rId130" xr:uid="{00000000-0004-0000-0000-000081000000}"/>
    <hyperlink ref="I67" r:id="rId131" xr:uid="{00000000-0004-0000-0000-000082000000}"/>
    <hyperlink ref="Q67" r:id="rId132" xr:uid="{00000000-0004-0000-0000-000083000000}"/>
    <hyperlink ref="I68" r:id="rId133" xr:uid="{00000000-0004-0000-0000-000084000000}"/>
    <hyperlink ref="Q68" r:id="rId134" xr:uid="{00000000-0004-0000-0000-000085000000}"/>
    <hyperlink ref="I69" r:id="rId135" xr:uid="{00000000-0004-0000-0000-000086000000}"/>
    <hyperlink ref="Q69" r:id="rId136" xr:uid="{00000000-0004-0000-0000-00008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showGridLines="0" workbookViewId="0"/>
  </sheetViews>
  <sheetFormatPr baseColWidth="10" defaultColWidth="8.83203125" defaultRowHeight="15" x14ac:dyDescent="0.2"/>
  <sheetData>
    <row r="1" spans="1:7" ht="21" x14ac:dyDescent="0.25">
      <c r="A1" s="18" t="s">
        <v>483</v>
      </c>
      <c r="B1" s="19"/>
      <c r="C1" s="19"/>
      <c r="D1" s="19"/>
      <c r="E1" s="19"/>
      <c r="F1" s="19"/>
    </row>
    <row r="3" spans="1:7" x14ac:dyDescent="0.2">
      <c r="A3" s="7" t="s">
        <v>484</v>
      </c>
      <c r="B3" s="7" t="s">
        <v>485</v>
      </c>
      <c r="C3" s="7"/>
      <c r="D3" s="7" t="s">
        <v>486</v>
      </c>
      <c r="E3" s="7" t="s">
        <v>487</v>
      </c>
      <c r="F3" s="7" t="s">
        <v>488</v>
      </c>
      <c r="G3" s="7" t="s">
        <v>489</v>
      </c>
    </row>
    <row r="4" spans="1:7" x14ac:dyDescent="0.2">
      <c r="A4" t="s">
        <v>487</v>
      </c>
      <c r="B4" s="9">
        <f>COUNTA(Events!$A$2:$A$10000)</f>
        <v>68</v>
      </c>
      <c r="D4" t="s">
        <v>490</v>
      </c>
      <c r="E4" s="9">
        <f>COUNTIFS(Events!$A$2:$A$10000,"&gt;="&amp;DATE(2010,1,1),Events!$A$2:$A$10000,"&lt;="&amp;DATE(2016,12,31))</f>
        <v>21</v>
      </c>
      <c r="F4" s="9">
        <f>SUMPRODUCT(--(Events!$A$2:$A$10000&gt;=DATE(2010,1,1)),--(Events!$A$2:$A$10000&lt;=DATE(2016,12,31)),--((Events!$C$2:$C$10000+Events!$D$2:$D$10000+Events!$E$2:$E$10000)&gt;0))</f>
        <v>16</v>
      </c>
      <c r="G4" s="9">
        <f>SUMIFS(Events!$F$2:$F$10000,Events!$A$2:$A$10000,"&gt;="&amp;DATE(2010,1,1),Events!$A$2:$A$10000,"&lt;="&amp;DATE(2016,12,31))</f>
        <v>5</v>
      </c>
    </row>
    <row r="5" spans="1:7" x14ac:dyDescent="0.2">
      <c r="A5" t="s">
        <v>491</v>
      </c>
      <c r="B5" s="9">
        <f>SUM(Events!$C$2:$C$10000)</f>
        <v>44</v>
      </c>
      <c r="D5" t="s">
        <v>492</v>
      </c>
      <c r="E5" s="9">
        <f>COUNTIFS(Events!$A$2:$A$10000,"&gt;="&amp;DATE(2017,1,1),Events!$A$2:$A$10000,"&lt;="&amp;DATE(2021,12,31))</f>
        <v>15</v>
      </c>
      <c r="F5" s="9">
        <f>SUMPRODUCT(--(Events!$A$2:$A$10000&gt;=DATE(2017,1,1)),--(Events!$A$2:$A$10000&lt;=DATE(2021,12,31)),--((Events!$C$2:$C$10000+Events!$D$2:$D$10000+Events!$E$2:$E$10000)&gt;0))</f>
        <v>12</v>
      </c>
      <c r="G5" s="9">
        <f>SUMIFS(Events!$F$2:$F$10000,Events!$A$2:$A$10000,"&gt;="&amp;DATE(2017,1,1),Events!$A$2:$A$10000,"&lt;="&amp;DATE(2021,12,31))</f>
        <v>3</v>
      </c>
    </row>
    <row r="6" spans="1:7" x14ac:dyDescent="0.2">
      <c r="A6" t="s">
        <v>493</v>
      </c>
      <c r="B6" s="9">
        <f>SUM(Events!$D$2:$D$10000)</f>
        <v>8</v>
      </c>
      <c r="D6" t="s">
        <v>494</v>
      </c>
      <c r="E6" s="9">
        <f>COUNTIFS(Events!$A$2:$A$10000,"&gt;="&amp;DATE(2022,1,1),Events!$A$2:$A$10000,"&lt;="&amp;DATE(2024,12,31))</f>
        <v>2</v>
      </c>
      <c r="F6" s="9">
        <f>SUMPRODUCT(--(Events!$A$2:$A$10000&gt;=DATE(2022,1,1)),--(Events!$A$2:$A$10000&lt;=DATE(2024,12,31)),--((Events!$C$2:$C$10000+Events!$D$2:$D$10000+Events!$E$2:$E$10000)&gt;0))</f>
        <v>2</v>
      </c>
      <c r="G6" s="9">
        <f>SUMIFS(Events!$F$2:$F$10000,Events!$A$2:$A$10000,"&gt;="&amp;DATE(2022,1,1),Events!$A$2:$A$10000,"&lt;="&amp;DATE(2024,12,31))</f>
        <v>0</v>
      </c>
    </row>
    <row r="7" spans="1:7" x14ac:dyDescent="0.2">
      <c r="A7" t="s">
        <v>495</v>
      </c>
      <c r="B7" s="9">
        <f>SUM(Events!$E$2:$E$10000)</f>
        <v>9</v>
      </c>
      <c r="D7" t="s">
        <v>496</v>
      </c>
      <c r="E7" s="9">
        <f>COUNTIFS(Events!$A$2:$A$10000,"&gt;="&amp;DATE(2025,1,1),Events!$A$2:$A$10000,"&lt;="&amp;DATE(2026,12,31))</f>
        <v>30</v>
      </c>
      <c r="F7" s="9">
        <f>SUMPRODUCT(--(Events!$A$2:$A$10000&gt;=DATE(2025,1,1)),--(Events!$A$2:$A$10000&lt;=DATE(2026,12,31)),--((Events!$C$2:$C$10000+Events!$D$2:$D$10000+Events!$E$2:$E$10000)&gt;0))</f>
        <v>28</v>
      </c>
      <c r="G7" s="9">
        <f>SUMIFS(Events!$F$2:$F$10000,Events!$A$2:$A$10000,"&gt;="&amp;DATE(2025,1,1),Events!$A$2:$A$10000,"&lt;="&amp;DATE(2026,12,31))</f>
        <v>2</v>
      </c>
    </row>
    <row r="8" spans="1:7" x14ac:dyDescent="0.2">
      <c r="A8" t="s">
        <v>489</v>
      </c>
      <c r="B8" s="9">
        <f>SUM(Events!$F$2:$F$10000)</f>
        <v>10</v>
      </c>
    </row>
    <row r="9" spans="1:7" x14ac:dyDescent="0.2">
      <c r="A9" t="s">
        <v>488</v>
      </c>
      <c r="B9" s="9">
        <f>SUMPRODUCT(--((Events!$C$2:$C$10000+Events!$D$2:$D$10000+Events!$E$2:$E$10000)&gt;0))</f>
        <v>58</v>
      </c>
    </row>
    <row r="12" spans="1:7" x14ac:dyDescent="0.2">
      <c r="A12" s="7" t="s">
        <v>497</v>
      </c>
      <c r="D12" s="7" t="s">
        <v>498</v>
      </c>
    </row>
    <row r="13" spans="1:7" x14ac:dyDescent="0.2">
      <c r="A13" t="s">
        <v>18</v>
      </c>
      <c r="B13" s="9">
        <f>COUNTIF(Events!$G$2:$G$10000,A13)</f>
        <v>3</v>
      </c>
      <c r="D13" t="s">
        <v>177</v>
      </c>
      <c r="E13" s="9">
        <f>COUNTIF(Events!$H$2:$H$10000,D13)</f>
        <v>20</v>
      </c>
    </row>
    <row r="14" spans="1:7" x14ac:dyDescent="0.2">
      <c r="A14" t="s">
        <v>80</v>
      </c>
      <c r="B14" s="9">
        <f>COUNTIF(Events!$G$2:$G$10000,A14)</f>
        <v>2</v>
      </c>
      <c r="D14" t="s">
        <v>42</v>
      </c>
      <c r="E14" s="9">
        <f>COUNTIF(Events!$H$2:$H$10000,D14)</f>
        <v>19</v>
      </c>
    </row>
    <row r="15" spans="1:7" x14ac:dyDescent="0.2">
      <c r="A15" t="s">
        <v>135</v>
      </c>
      <c r="B15" s="9">
        <f>COUNTIF(Events!$G$2:$G$10000,A15)</f>
        <v>1</v>
      </c>
      <c r="D15" t="s">
        <v>246</v>
      </c>
      <c r="E15" s="9">
        <f>COUNTIF(Events!$H$2:$H$10000,D15)</f>
        <v>5</v>
      </c>
    </row>
    <row r="16" spans="1:7" x14ac:dyDescent="0.2">
      <c r="A16" t="s">
        <v>142</v>
      </c>
      <c r="B16" s="9">
        <f>COUNTIF(Events!$G$2:$G$10000,A16)</f>
        <v>1</v>
      </c>
      <c r="D16" t="s">
        <v>19</v>
      </c>
      <c r="E16" s="9">
        <f>COUNTIF(Events!$H$2:$H$10000,D16)</f>
        <v>4</v>
      </c>
    </row>
    <row r="17" spans="1:2" x14ac:dyDescent="0.2">
      <c r="A17" t="s">
        <v>167</v>
      </c>
      <c r="B17" s="9">
        <f>COUNTIF(Events!$G$2:$G$10000,A17)</f>
        <v>1</v>
      </c>
    </row>
    <row r="18" spans="1:2" x14ac:dyDescent="0.2">
      <c r="A18" t="s">
        <v>225</v>
      </c>
      <c r="B18" s="9">
        <f>COUNTIF(Events!$G$2:$G$10000,A18)</f>
        <v>1</v>
      </c>
    </row>
    <row r="19" spans="1:2" x14ac:dyDescent="0.2">
      <c r="A19" t="s">
        <v>299</v>
      </c>
      <c r="B19" s="9">
        <f>COUNTIF(Events!$G$2:$G$10000,A19)</f>
        <v>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10" customWidth="1"/>
  </cols>
  <sheetData>
    <row r="1" spans="1:2" ht="16" x14ac:dyDescent="0.2">
      <c r="A1" s="8" t="s">
        <v>499</v>
      </c>
      <c r="B1" s="8" t="s">
        <v>500</v>
      </c>
    </row>
    <row r="2" spans="1:2" ht="42" customHeight="1" x14ac:dyDescent="0.2">
      <c r="A2" s="3" t="s">
        <v>501</v>
      </c>
      <c r="B2" s="3" t="s">
        <v>502</v>
      </c>
    </row>
    <row r="3" spans="1:2" ht="42" customHeight="1" x14ac:dyDescent="0.2">
      <c r="A3" s="3" t="s">
        <v>491</v>
      </c>
      <c r="B3" s="3" t="s">
        <v>503</v>
      </c>
    </row>
    <row r="4" spans="1:2" ht="42" customHeight="1" x14ac:dyDescent="0.2">
      <c r="A4" s="3" t="s">
        <v>493</v>
      </c>
      <c r="B4" s="3" t="s">
        <v>504</v>
      </c>
    </row>
    <row r="5" spans="1:2" ht="42" customHeight="1" x14ac:dyDescent="0.2">
      <c r="A5" s="3" t="s">
        <v>495</v>
      </c>
      <c r="B5" s="3" t="s">
        <v>505</v>
      </c>
    </row>
    <row r="6" spans="1:2" ht="42" customHeight="1" x14ac:dyDescent="0.2">
      <c r="A6" s="3" t="s">
        <v>489</v>
      </c>
      <c r="B6" s="3" t="s">
        <v>506</v>
      </c>
    </row>
    <row r="7" spans="1:2" ht="42" customHeight="1" x14ac:dyDescent="0.2">
      <c r="A7" s="3" t="s">
        <v>507</v>
      </c>
      <c r="B7" s="3" t="s">
        <v>508</v>
      </c>
    </row>
    <row r="8" spans="1:2" ht="42" customHeight="1" x14ac:dyDescent="0.2">
      <c r="A8" s="3" t="s">
        <v>509</v>
      </c>
      <c r="B8" s="3" t="s">
        <v>510</v>
      </c>
    </row>
    <row r="9" spans="1:2" ht="42" customHeight="1" x14ac:dyDescent="0.2">
      <c r="A9" s="3" t="s">
        <v>511</v>
      </c>
      <c r="B9" s="3" t="s">
        <v>512</v>
      </c>
    </row>
    <row r="10" spans="1:2" ht="42" customHeight="1" x14ac:dyDescent="0.2">
      <c r="A10" s="3" t="s">
        <v>513</v>
      </c>
      <c r="B10" s="3" t="s">
        <v>514</v>
      </c>
    </row>
    <row r="11" spans="1:2" ht="42" customHeight="1" x14ac:dyDescent="0.2">
      <c r="A11" s="3" t="s">
        <v>515</v>
      </c>
      <c r="B11" s="3" t="s">
        <v>516</v>
      </c>
    </row>
    <row r="14" spans="1:2" x14ac:dyDescent="0.2">
      <c r="A14" s="16" t="s">
        <v>517</v>
      </c>
    </row>
    <row r="15" spans="1:2" ht="32" x14ac:dyDescent="0.2">
      <c r="A15" s="16" t="s">
        <v>518</v>
      </c>
      <c r="B15" s="3" t="s">
        <v>519</v>
      </c>
    </row>
    <row r="16" spans="1:2" ht="32" x14ac:dyDescent="0.2">
      <c r="A16" s="16" t="s">
        <v>61</v>
      </c>
      <c r="B16" s="3" t="s">
        <v>520</v>
      </c>
    </row>
    <row r="17" spans="1:2" ht="16" x14ac:dyDescent="0.2">
      <c r="A17" s="16" t="s">
        <v>206</v>
      </c>
      <c r="B17" s="3" t="s">
        <v>521</v>
      </c>
    </row>
    <row r="18" spans="1:2" ht="16" x14ac:dyDescent="0.2">
      <c r="A18" s="16" t="s">
        <v>26</v>
      </c>
      <c r="B18" s="3" t="s">
        <v>522</v>
      </c>
    </row>
    <row r="19" spans="1:2" ht="16" x14ac:dyDescent="0.2">
      <c r="A19" s="16" t="s">
        <v>87</v>
      </c>
      <c r="B19" s="3" t="s">
        <v>523</v>
      </c>
    </row>
    <row r="20" spans="1:2" ht="32" x14ac:dyDescent="0.2">
      <c r="A20" s="16" t="s">
        <v>48</v>
      </c>
      <c r="B20" s="3" t="s">
        <v>524</v>
      </c>
    </row>
    <row r="21" spans="1:2" ht="32" x14ac:dyDescent="0.2">
      <c r="A21" s="16" t="s">
        <v>35</v>
      </c>
      <c r="B21" s="3" t="s">
        <v>525</v>
      </c>
    </row>
    <row r="22" spans="1:2" ht="32" x14ac:dyDescent="0.2">
      <c r="A22" s="16" t="s">
        <v>526</v>
      </c>
      <c r="B22" s="3" t="s">
        <v>527</v>
      </c>
    </row>
    <row r="24" spans="1:2" x14ac:dyDescent="0.2">
      <c r="A24" s="16" t="s">
        <v>528</v>
      </c>
    </row>
    <row r="25" spans="1:2" ht="48" customHeight="1" x14ac:dyDescent="0.2">
      <c r="A25" s="3" t="s">
        <v>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4" customWidth="1"/>
    <col min="4" max="4" width="12" customWidth="1"/>
    <col min="5" max="5" width="13" customWidth="1"/>
    <col min="6" max="6" width="10" customWidth="1"/>
    <col min="7" max="7" width="90" customWidth="1"/>
  </cols>
  <sheetData>
    <row r="1" spans="1:7" ht="30" customHeight="1" x14ac:dyDescent="0.2">
      <c r="A1" s="10" t="s">
        <v>530</v>
      </c>
      <c r="B1" s="10" t="s">
        <v>531</v>
      </c>
      <c r="C1" s="10" t="s">
        <v>491</v>
      </c>
      <c r="D1" s="10" t="s">
        <v>493</v>
      </c>
      <c r="E1" s="10" t="s">
        <v>495</v>
      </c>
      <c r="F1" s="10" t="s">
        <v>489</v>
      </c>
      <c r="G1" s="10" t="s">
        <v>532</v>
      </c>
    </row>
    <row r="2" spans="1:7" x14ac:dyDescent="0.2">
      <c r="A2" s="11">
        <v>40179</v>
      </c>
      <c r="B2" s="12">
        <f>COUNTIFS(Events!$A$2:$A$10000,"&gt;="&amp;A2,Events!$A$2:$A$10000,"&lt;"&amp;EDATE(A2,1))</f>
        <v>0</v>
      </c>
      <c r="C2" s="12">
        <f>SUMIFS(Events!$C$2:$C$10000,Events!$A$2:$A$10000,"&gt;="&amp;A2,Events!$A$2:$A$10000,"&lt;"&amp;EDATE(A2,1))</f>
        <v>0</v>
      </c>
      <c r="D2" s="12">
        <f>SUMIFS(Events!$D$2:$D$10000,Events!$A$2:$A$10000,"&gt;="&amp;A2,Events!$A$2:$A$10000,"&lt;"&amp;EDATE(A2,1))</f>
        <v>0</v>
      </c>
      <c r="E2" s="12">
        <f>SUMIFS(Events!$E$2:$E$10000,Events!$A$2:$A$10000,"&gt;="&amp;A2,Events!$A$2:$A$10000,"&lt;"&amp;EDATE(A2,1))</f>
        <v>0</v>
      </c>
      <c r="F2" s="12">
        <f>SUMIFS(Events!$F$2:$F$10000,Events!$A$2:$A$10000,"&gt;="&amp;A2,Events!$A$2:$A$10000,"&lt;"&amp;EDATE(A2,1))</f>
        <v>0</v>
      </c>
      <c r="G2" s="4"/>
    </row>
    <row r="3" spans="1:7" x14ac:dyDescent="0.2">
      <c r="A3" s="11">
        <v>40210</v>
      </c>
      <c r="B3" s="12">
        <f>COUNTIFS(Events!$A$2:$A$10000,"&gt;="&amp;A3,Events!$A$2:$A$10000,"&lt;"&amp;EDATE(A3,1))</f>
        <v>1</v>
      </c>
      <c r="C3" s="12">
        <f>SUMIFS(Events!$C$2:$C$10000,Events!$A$2:$A$10000,"&gt;="&amp;A3,Events!$A$2:$A$10000,"&lt;"&amp;EDATE(A3,1))</f>
        <v>0</v>
      </c>
      <c r="D3" s="12">
        <f>SUMIFS(Events!$D$2:$D$10000,Events!$A$2:$A$10000,"&gt;="&amp;A3,Events!$A$2:$A$10000,"&lt;"&amp;EDATE(A3,1))</f>
        <v>0</v>
      </c>
      <c r="E3" s="12">
        <f>SUMIFS(Events!$E$2:$E$10000,Events!$A$2:$A$10000,"&gt;="&amp;A3,Events!$A$2:$A$10000,"&lt;"&amp;EDATE(A3,1))</f>
        <v>0</v>
      </c>
      <c r="F3" s="12">
        <f>SUMIFS(Events!$F$2:$F$10000,Events!$A$2:$A$10000,"&gt;="&amp;A3,Events!$A$2:$A$10000,"&lt;"&amp;EDATE(A3,1))</f>
        <v>1</v>
      </c>
      <c r="G3" s="4"/>
    </row>
    <row r="4" spans="1:7" x14ac:dyDescent="0.2">
      <c r="A4" s="11">
        <v>40238</v>
      </c>
      <c r="B4" s="12">
        <f>COUNTIFS(Events!$A$2:$A$10000,"&gt;="&amp;A4,Events!$A$2:$A$10000,"&lt;"&amp;EDATE(A4,1))</f>
        <v>0</v>
      </c>
      <c r="C4" s="12">
        <f>SUMIFS(Events!$C$2:$C$10000,Events!$A$2:$A$10000,"&gt;="&amp;A4,Events!$A$2:$A$10000,"&lt;"&amp;EDATE(A4,1))</f>
        <v>0</v>
      </c>
      <c r="D4" s="12">
        <f>SUMIFS(Events!$D$2:$D$10000,Events!$A$2:$A$10000,"&gt;="&amp;A4,Events!$A$2:$A$10000,"&lt;"&amp;EDATE(A4,1))</f>
        <v>0</v>
      </c>
      <c r="E4" s="12">
        <f>SUMIFS(Events!$E$2:$E$10000,Events!$A$2:$A$10000,"&gt;="&amp;A4,Events!$A$2:$A$10000,"&lt;"&amp;EDATE(A4,1))</f>
        <v>0</v>
      </c>
      <c r="F4" s="12">
        <f>SUMIFS(Events!$F$2:$F$10000,Events!$A$2:$A$10000,"&gt;="&amp;A4,Events!$A$2:$A$10000,"&lt;"&amp;EDATE(A4,1))</f>
        <v>0</v>
      </c>
      <c r="G4" s="4"/>
    </row>
    <row r="5" spans="1:7" x14ac:dyDescent="0.2">
      <c r="A5" s="11">
        <v>40269</v>
      </c>
      <c r="B5" s="12">
        <f>COUNTIFS(Events!$A$2:$A$10000,"&gt;="&amp;A5,Events!$A$2:$A$10000,"&lt;"&amp;EDATE(A5,1))</f>
        <v>0</v>
      </c>
      <c r="C5" s="12">
        <f>SUMIFS(Events!$C$2:$C$10000,Events!$A$2:$A$10000,"&gt;="&amp;A5,Events!$A$2:$A$10000,"&lt;"&amp;EDATE(A5,1))</f>
        <v>0</v>
      </c>
      <c r="D5" s="12">
        <f>SUMIFS(Events!$D$2:$D$10000,Events!$A$2:$A$10000,"&gt;="&amp;A5,Events!$A$2:$A$10000,"&lt;"&amp;EDATE(A5,1))</f>
        <v>0</v>
      </c>
      <c r="E5" s="12">
        <f>SUMIFS(Events!$E$2:$E$10000,Events!$A$2:$A$10000,"&gt;="&amp;A5,Events!$A$2:$A$10000,"&lt;"&amp;EDATE(A5,1))</f>
        <v>0</v>
      </c>
      <c r="F5" s="12">
        <f>SUMIFS(Events!$F$2:$F$10000,Events!$A$2:$A$10000,"&gt;="&amp;A5,Events!$A$2:$A$10000,"&lt;"&amp;EDATE(A5,1))</f>
        <v>0</v>
      </c>
      <c r="G5" s="4"/>
    </row>
    <row r="6" spans="1:7" x14ac:dyDescent="0.2">
      <c r="A6" s="11">
        <v>40299</v>
      </c>
      <c r="B6" s="12">
        <f>COUNTIFS(Events!$A$2:$A$10000,"&gt;="&amp;A6,Events!$A$2:$A$10000,"&lt;"&amp;EDATE(A6,1))</f>
        <v>0</v>
      </c>
      <c r="C6" s="12">
        <f>SUMIFS(Events!$C$2:$C$10000,Events!$A$2:$A$10000,"&gt;="&amp;A6,Events!$A$2:$A$10000,"&lt;"&amp;EDATE(A6,1))</f>
        <v>0</v>
      </c>
      <c r="D6" s="12">
        <f>SUMIFS(Events!$D$2:$D$10000,Events!$A$2:$A$10000,"&gt;="&amp;A6,Events!$A$2:$A$10000,"&lt;"&amp;EDATE(A6,1))</f>
        <v>0</v>
      </c>
      <c r="E6" s="12">
        <f>SUMIFS(Events!$E$2:$E$10000,Events!$A$2:$A$10000,"&gt;="&amp;A6,Events!$A$2:$A$10000,"&lt;"&amp;EDATE(A6,1))</f>
        <v>0</v>
      </c>
      <c r="F6" s="12">
        <f>SUMIFS(Events!$F$2:$F$10000,Events!$A$2:$A$10000,"&gt;="&amp;A6,Events!$A$2:$A$10000,"&lt;"&amp;EDATE(A6,1))</f>
        <v>0</v>
      </c>
      <c r="G6" s="4"/>
    </row>
    <row r="7" spans="1:7" x14ac:dyDescent="0.2">
      <c r="A7" s="11">
        <v>40330</v>
      </c>
      <c r="B7" s="12">
        <f>COUNTIFS(Events!$A$2:$A$10000,"&gt;="&amp;A7,Events!$A$2:$A$10000,"&lt;"&amp;EDATE(A7,1))</f>
        <v>0</v>
      </c>
      <c r="C7" s="12">
        <f>SUMIFS(Events!$C$2:$C$10000,Events!$A$2:$A$10000,"&gt;="&amp;A7,Events!$A$2:$A$10000,"&lt;"&amp;EDATE(A7,1))</f>
        <v>0</v>
      </c>
      <c r="D7" s="12">
        <f>SUMIFS(Events!$D$2:$D$10000,Events!$A$2:$A$10000,"&gt;="&amp;A7,Events!$A$2:$A$10000,"&lt;"&amp;EDATE(A7,1))</f>
        <v>0</v>
      </c>
      <c r="E7" s="12">
        <f>SUMIFS(Events!$E$2:$E$10000,Events!$A$2:$A$10000,"&gt;="&amp;A7,Events!$A$2:$A$10000,"&lt;"&amp;EDATE(A7,1))</f>
        <v>0</v>
      </c>
      <c r="F7" s="12">
        <f>SUMIFS(Events!$F$2:$F$10000,Events!$A$2:$A$10000,"&gt;="&amp;A7,Events!$A$2:$A$10000,"&lt;"&amp;EDATE(A7,1))</f>
        <v>0</v>
      </c>
      <c r="G7" s="4"/>
    </row>
    <row r="8" spans="1:7" x14ac:dyDescent="0.2">
      <c r="A8" s="11">
        <v>40360</v>
      </c>
      <c r="B8" s="12">
        <f>COUNTIFS(Events!$A$2:$A$10000,"&gt;="&amp;A8,Events!$A$2:$A$10000,"&lt;"&amp;EDATE(A8,1))</f>
        <v>0</v>
      </c>
      <c r="C8" s="12">
        <f>SUMIFS(Events!$C$2:$C$10000,Events!$A$2:$A$10000,"&gt;="&amp;A8,Events!$A$2:$A$10000,"&lt;"&amp;EDATE(A8,1))</f>
        <v>0</v>
      </c>
      <c r="D8" s="12">
        <f>SUMIFS(Events!$D$2:$D$10000,Events!$A$2:$A$10000,"&gt;="&amp;A8,Events!$A$2:$A$10000,"&lt;"&amp;EDATE(A8,1))</f>
        <v>0</v>
      </c>
      <c r="E8" s="12">
        <f>SUMIFS(Events!$E$2:$E$10000,Events!$A$2:$A$10000,"&gt;="&amp;A8,Events!$A$2:$A$10000,"&lt;"&amp;EDATE(A8,1))</f>
        <v>0</v>
      </c>
      <c r="F8" s="12">
        <f>SUMIFS(Events!$F$2:$F$10000,Events!$A$2:$A$10000,"&gt;="&amp;A8,Events!$A$2:$A$10000,"&lt;"&amp;EDATE(A8,1))</f>
        <v>0</v>
      </c>
      <c r="G8" s="4"/>
    </row>
    <row r="9" spans="1:7" x14ac:dyDescent="0.2">
      <c r="A9" s="11">
        <v>40391</v>
      </c>
      <c r="B9" s="12">
        <f>COUNTIFS(Events!$A$2:$A$10000,"&gt;="&amp;A9,Events!$A$2:$A$10000,"&lt;"&amp;EDATE(A9,1))</f>
        <v>0</v>
      </c>
      <c r="C9" s="12">
        <f>SUMIFS(Events!$C$2:$C$10000,Events!$A$2:$A$10000,"&gt;="&amp;A9,Events!$A$2:$A$10000,"&lt;"&amp;EDATE(A9,1))</f>
        <v>0</v>
      </c>
      <c r="D9" s="12">
        <f>SUMIFS(Events!$D$2:$D$10000,Events!$A$2:$A$10000,"&gt;="&amp;A9,Events!$A$2:$A$10000,"&lt;"&amp;EDATE(A9,1))</f>
        <v>0</v>
      </c>
      <c r="E9" s="12">
        <f>SUMIFS(Events!$E$2:$E$10000,Events!$A$2:$A$10000,"&gt;="&amp;A9,Events!$A$2:$A$10000,"&lt;"&amp;EDATE(A9,1))</f>
        <v>0</v>
      </c>
      <c r="F9" s="12">
        <f>SUMIFS(Events!$F$2:$F$10000,Events!$A$2:$A$10000,"&gt;="&amp;A9,Events!$A$2:$A$10000,"&lt;"&amp;EDATE(A9,1))</f>
        <v>0</v>
      </c>
      <c r="G9" s="4"/>
    </row>
    <row r="10" spans="1:7" x14ac:dyDescent="0.2">
      <c r="A10" s="11">
        <v>40422</v>
      </c>
      <c r="B10" s="12">
        <f>COUNTIFS(Events!$A$2:$A$10000,"&gt;="&amp;A10,Events!$A$2:$A$10000,"&lt;"&amp;EDATE(A10,1))</f>
        <v>0</v>
      </c>
      <c r="C10" s="12">
        <f>SUMIFS(Events!$C$2:$C$10000,Events!$A$2:$A$10000,"&gt;="&amp;A10,Events!$A$2:$A$10000,"&lt;"&amp;EDATE(A10,1))</f>
        <v>0</v>
      </c>
      <c r="D10" s="12">
        <f>SUMIFS(Events!$D$2:$D$10000,Events!$A$2:$A$10000,"&gt;="&amp;A10,Events!$A$2:$A$10000,"&lt;"&amp;EDATE(A10,1))</f>
        <v>0</v>
      </c>
      <c r="E10" s="12">
        <f>SUMIFS(Events!$E$2:$E$10000,Events!$A$2:$A$10000,"&gt;="&amp;A10,Events!$A$2:$A$10000,"&lt;"&amp;EDATE(A10,1))</f>
        <v>0</v>
      </c>
      <c r="F10" s="12">
        <f>SUMIFS(Events!$F$2:$F$10000,Events!$A$2:$A$10000,"&gt;="&amp;A10,Events!$A$2:$A$10000,"&lt;"&amp;EDATE(A10,1))</f>
        <v>0</v>
      </c>
      <c r="G10" s="4"/>
    </row>
    <row r="11" spans="1:7" x14ac:dyDescent="0.2">
      <c r="A11" s="11">
        <v>40452</v>
      </c>
      <c r="B11" s="12">
        <f>COUNTIFS(Events!$A$2:$A$10000,"&gt;="&amp;A11,Events!$A$2:$A$10000,"&lt;"&amp;EDATE(A11,1))</f>
        <v>0</v>
      </c>
      <c r="C11" s="12">
        <f>SUMIFS(Events!$C$2:$C$10000,Events!$A$2:$A$10000,"&gt;="&amp;A11,Events!$A$2:$A$10000,"&lt;"&amp;EDATE(A11,1))</f>
        <v>0</v>
      </c>
      <c r="D11" s="12">
        <f>SUMIFS(Events!$D$2:$D$10000,Events!$A$2:$A$10000,"&gt;="&amp;A11,Events!$A$2:$A$10000,"&lt;"&amp;EDATE(A11,1))</f>
        <v>0</v>
      </c>
      <c r="E11" s="12">
        <f>SUMIFS(Events!$E$2:$E$10000,Events!$A$2:$A$10000,"&gt;="&amp;A11,Events!$A$2:$A$10000,"&lt;"&amp;EDATE(A11,1))</f>
        <v>0</v>
      </c>
      <c r="F11" s="12">
        <f>SUMIFS(Events!$F$2:$F$10000,Events!$A$2:$A$10000,"&gt;="&amp;A11,Events!$A$2:$A$10000,"&lt;"&amp;EDATE(A11,1))</f>
        <v>0</v>
      </c>
      <c r="G11" s="4"/>
    </row>
    <row r="12" spans="1:7" x14ac:dyDescent="0.2">
      <c r="A12" s="11">
        <v>40483</v>
      </c>
      <c r="B12" s="12">
        <f>COUNTIFS(Events!$A$2:$A$10000,"&gt;="&amp;A12,Events!$A$2:$A$10000,"&lt;"&amp;EDATE(A12,1))</f>
        <v>0</v>
      </c>
      <c r="C12" s="12">
        <f>SUMIFS(Events!$C$2:$C$10000,Events!$A$2:$A$10000,"&gt;="&amp;A12,Events!$A$2:$A$10000,"&lt;"&amp;EDATE(A12,1))</f>
        <v>0</v>
      </c>
      <c r="D12" s="12">
        <f>SUMIFS(Events!$D$2:$D$10000,Events!$A$2:$A$10000,"&gt;="&amp;A12,Events!$A$2:$A$10000,"&lt;"&amp;EDATE(A12,1))</f>
        <v>0</v>
      </c>
      <c r="E12" s="12">
        <f>SUMIFS(Events!$E$2:$E$10000,Events!$A$2:$A$10000,"&gt;="&amp;A12,Events!$A$2:$A$10000,"&lt;"&amp;EDATE(A12,1))</f>
        <v>0</v>
      </c>
      <c r="F12" s="12">
        <f>SUMIFS(Events!$F$2:$F$10000,Events!$A$2:$A$10000,"&gt;="&amp;A12,Events!$A$2:$A$10000,"&lt;"&amp;EDATE(A12,1))</f>
        <v>0</v>
      </c>
      <c r="G12" s="4"/>
    </row>
    <row r="13" spans="1:7" ht="30" customHeight="1" x14ac:dyDescent="0.2">
      <c r="A13" s="11">
        <v>40513</v>
      </c>
      <c r="B13" s="12">
        <f>COUNTIFS(Events!$A$2:$A$10000,"&gt;="&amp;A13,Events!$A$2:$A$10000,"&lt;"&amp;EDATE(A13,1))</f>
        <v>2</v>
      </c>
      <c r="C13" s="12">
        <f>SUMIFS(Events!$C$2:$C$10000,Events!$A$2:$A$10000,"&gt;="&amp;A13,Events!$A$2:$A$10000,"&lt;"&amp;EDATE(A13,1))</f>
        <v>2</v>
      </c>
      <c r="D13" s="12">
        <f>SUMIFS(Events!$D$2:$D$10000,Events!$A$2:$A$10000,"&gt;="&amp;A13,Events!$A$2:$A$10000,"&lt;"&amp;EDATE(A13,1))</f>
        <v>0</v>
      </c>
      <c r="E13" s="12">
        <f>SUMIFS(Events!$E$2:$E$10000,Events!$A$2:$A$10000,"&gt;="&amp;A13,Events!$A$2:$A$10000,"&lt;"&amp;EDATE(A13,1))</f>
        <v>0</v>
      </c>
      <c r="F13" s="12">
        <f>SUMIFS(Events!$F$2:$F$10000,Events!$A$2:$A$10000,"&gt;="&amp;A13,Events!$A$2:$A$10000,"&lt;"&amp;EDATE(A13,1))</f>
        <v>0</v>
      </c>
      <c r="G13" s="13" t="s">
        <v>533</v>
      </c>
    </row>
    <row r="14" spans="1:7" x14ac:dyDescent="0.2">
      <c r="A14" s="11">
        <v>40544</v>
      </c>
      <c r="B14" s="12">
        <f>COUNTIFS(Events!$A$2:$A$10000,"&gt;="&amp;A14,Events!$A$2:$A$10000,"&lt;"&amp;EDATE(A14,1))</f>
        <v>0</v>
      </c>
      <c r="C14" s="12">
        <f>SUMIFS(Events!$C$2:$C$10000,Events!$A$2:$A$10000,"&gt;="&amp;A14,Events!$A$2:$A$10000,"&lt;"&amp;EDATE(A14,1))</f>
        <v>0</v>
      </c>
      <c r="D14" s="12">
        <f>SUMIFS(Events!$D$2:$D$10000,Events!$A$2:$A$10000,"&gt;="&amp;A14,Events!$A$2:$A$10000,"&lt;"&amp;EDATE(A14,1))</f>
        <v>0</v>
      </c>
      <c r="E14" s="12">
        <f>SUMIFS(Events!$E$2:$E$10000,Events!$A$2:$A$10000,"&gt;="&amp;A14,Events!$A$2:$A$10000,"&lt;"&amp;EDATE(A14,1))</f>
        <v>0</v>
      </c>
      <c r="F14" s="12">
        <f>SUMIFS(Events!$F$2:$F$10000,Events!$A$2:$A$10000,"&gt;="&amp;A14,Events!$A$2:$A$10000,"&lt;"&amp;EDATE(A14,1))</f>
        <v>0</v>
      </c>
      <c r="G14" s="4"/>
    </row>
    <row r="15" spans="1:7" x14ac:dyDescent="0.2">
      <c r="A15" s="11">
        <v>40575</v>
      </c>
      <c r="B15" s="12">
        <f>COUNTIFS(Events!$A$2:$A$10000,"&gt;="&amp;A15,Events!$A$2:$A$10000,"&lt;"&amp;EDATE(A15,1))</f>
        <v>0</v>
      </c>
      <c r="C15" s="12">
        <f>SUMIFS(Events!$C$2:$C$10000,Events!$A$2:$A$10000,"&gt;="&amp;A15,Events!$A$2:$A$10000,"&lt;"&amp;EDATE(A15,1))</f>
        <v>0</v>
      </c>
      <c r="D15" s="12">
        <f>SUMIFS(Events!$D$2:$D$10000,Events!$A$2:$A$10000,"&gt;="&amp;A15,Events!$A$2:$A$10000,"&lt;"&amp;EDATE(A15,1))</f>
        <v>0</v>
      </c>
      <c r="E15" s="12">
        <f>SUMIFS(Events!$E$2:$E$10000,Events!$A$2:$A$10000,"&gt;="&amp;A15,Events!$A$2:$A$10000,"&lt;"&amp;EDATE(A15,1))</f>
        <v>0</v>
      </c>
      <c r="F15" s="12">
        <f>SUMIFS(Events!$F$2:$F$10000,Events!$A$2:$A$10000,"&gt;="&amp;A15,Events!$A$2:$A$10000,"&lt;"&amp;EDATE(A15,1))</f>
        <v>0</v>
      </c>
      <c r="G15" s="4"/>
    </row>
    <row r="16" spans="1:7" x14ac:dyDescent="0.2">
      <c r="A16" s="11">
        <v>40603</v>
      </c>
      <c r="B16" s="12">
        <f>COUNTIFS(Events!$A$2:$A$10000,"&gt;="&amp;A16,Events!$A$2:$A$10000,"&lt;"&amp;EDATE(A16,1))</f>
        <v>0</v>
      </c>
      <c r="C16" s="12">
        <f>SUMIFS(Events!$C$2:$C$10000,Events!$A$2:$A$10000,"&gt;="&amp;A16,Events!$A$2:$A$10000,"&lt;"&amp;EDATE(A16,1))</f>
        <v>0</v>
      </c>
      <c r="D16" s="12">
        <f>SUMIFS(Events!$D$2:$D$10000,Events!$A$2:$A$10000,"&gt;="&amp;A16,Events!$A$2:$A$10000,"&lt;"&amp;EDATE(A16,1))</f>
        <v>0</v>
      </c>
      <c r="E16" s="12">
        <f>SUMIFS(Events!$E$2:$E$10000,Events!$A$2:$A$10000,"&gt;="&amp;A16,Events!$A$2:$A$10000,"&lt;"&amp;EDATE(A16,1))</f>
        <v>0</v>
      </c>
      <c r="F16" s="12">
        <f>SUMIFS(Events!$F$2:$F$10000,Events!$A$2:$A$10000,"&gt;="&amp;A16,Events!$A$2:$A$10000,"&lt;"&amp;EDATE(A16,1))</f>
        <v>0</v>
      </c>
      <c r="G16" s="4"/>
    </row>
    <row r="17" spans="1:7" x14ac:dyDescent="0.2">
      <c r="A17" s="11">
        <v>40634</v>
      </c>
      <c r="B17" s="12">
        <f>COUNTIFS(Events!$A$2:$A$10000,"&gt;="&amp;A17,Events!$A$2:$A$10000,"&lt;"&amp;EDATE(A17,1))</f>
        <v>0</v>
      </c>
      <c r="C17" s="12">
        <f>SUMIFS(Events!$C$2:$C$10000,Events!$A$2:$A$10000,"&gt;="&amp;A17,Events!$A$2:$A$10000,"&lt;"&amp;EDATE(A17,1))</f>
        <v>0</v>
      </c>
      <c r="D17" s="12">
        <f>SUMIFS(Events!$D$2:$D$10000,Events!$A$2:$A$10000,"&gt;="&amp;A17,Events!$A$2:$A$10000,"&lt;"&amp;EDATE(A17,1))</f>
        <v>0</v>
      </c>
      <c r="E17" s="12">
        <f>SUMIFS(Events!$E$2:$E$10000,Events!$A$2:$A$10000,"&gt;="&amp;A17,Events!$A$2:$A$10000,"&lt;"&amp;EDATE(A17,1))</f>
        <v>0</v>
      </c>
      <c r="F17" s="12">
        <f>SUMIFS(Events!$F$2:$F$10000,Events!$A$2:$A$10000,"&gt;="&amp;A17,Events!$A$2:$A$10000,"&lt;"&amp;EDATE(A17,1))</f>
        <v>0</v>
      </c>
      <c r="G17" s="4"/>
    </row>
    <row r="18" spans="1:7" x14ac:dyDescent="0.2">
      <c r="A18" s="11">
        <v>40664</v>
      </c>
      <c r="B18" s="12">
        <f>COUNTIFS(Events!$A$2:$A$10000,"&gt;="&amp;A18,Events!$A$2:$A$10000,"&lt;"&amp;EDATE(A18,1))</f>
        <v>0</v>
      </c>
      <c r="C18" s="12">
        <f>SUMIFS(Events!$C$2:$C$10000,Events!$A$2:$A$10000,"&gt;="&amp;A18,Events!$A$2:$A$10000,"&lt;"&amp;EDATE(A18,1))</f>
        <v>0</v>
      </c>
      <c r="D18" s="12">
        <f>SUMIFS(Events!$D$2:$D$10000,Events!$A$2:$A$10000,"&gt;="&amp;A18,Events!$A$2:$A$10000,"&lt;"&amp;EDATE(A18,1))</f>
        <v>0</v>
      </c>
      <c r="E18" s="12">
        <f>SUMIFS(Events!$E$2:$E$10000,Events!$A$2:$A$10000,"&gt;="&amp;A18,Events!$A$2:$A$10000,"&lt;"&amp;EDATE(A18,1))</f>
        <v>0</v>
      </c>
      <c r="F18" s="12">
        <f>SUMIFS(Events!$F$2:$F$10000,Events!$A$2:$A$10000,"&gt;="&amp;A18,Events!$A$2:$A$10000,"&lt;"&amp;EDATE(A18,1))</f>
        <v>0</v>
      </c>
      <c r="G18" s="4"/>
    </row>
    <row r="19" spans="1:7" x14ac:dyDescent="0.2">
      <c r="A19" s="11">
        <v>40695</v>
      </c>
      <c r="B19" s="12">
        <f>COUNTIFS(Events!$A$2:$A$10000,"&gt;="&amp;A19,Events!$A$2:$A$10000,"&lt;"&amp;EDATE(A19,1))</f>
        <v>0</v>
      </c>
      <c r="C19" s="12">
        <f>SUMIFS(Events!$C$2:$C$10000,Events!$A$2:$A$10000,"&gt;="&amp;A19,Events!$A$2:$A$10000,"&lt;"&amp;EDATE(A19,1))</f>
        <v>0</v>
      </c>
      <c r="D19" s="12">
        <f>SUMIFS(Events!$D$2:$D$10000,Events!$A$2:$A$10000,"&gt;="&amp;A19,Events!$A$2:$A$10000,"&lt;"&amp;EDATE(A19,1))</f>
        <v>0</v>
      </c>
      <c r="E19" s="12">
        <f>SUMIFS(Events!$E$2:$E$10000,Events!$A$2:$A$10000,"&gt;="&amp;A19,Events!$A$2:$A$10000,"&lt;"&amp;EDATE(A19,1))</f>
        <v>0</v>
      </c>
      <c r="F19" s="12">
        <f>SUMIFS(Events!$F$2:$F$10000,Events!$A$2:$A$10000,"&gt;="&amp;A19,Events!$A$2:$A$10000,"&lt;"&amp;EDATE(A19,1))</f>
        <v>0</v>
      </c>
      <c r="G19" s="4"/>
    </row>
    <row r="20" spans="1:7" x14ac:dyDescent="0.2">
      <c r="A20" s="11">
        <v>40725</v>
      </c>
      <c r="B20" s="12">
        <f>COUNTIFS(Events!$A$2:$A$10000,"&gt;="&amp;A20,Events!$A$2:$A$10000,"&lt;"&amp;EDATE(A20,1))</f>
        <v>0</v>
      </c>
      <c r="C20" s="12">
        <f>SUMIFS(Events!$C$2:$C$10000,Events!$A$2:$A$10000,"&gt;="&amp;A20,Events!$A$2:$A$10000,"&lt;"&amp;EDATE(A20,1))</f>
        <v>0</v>
      </c>
      <c r="D20" s="12">
        <f>SUMIFS(Events!$D$2:$D$10000,Events!$A$2:$A$10000,"&gt;="&amp;A20,Events!$A$2:$A$10000,"&lt;"&amp;EDATE(A20,1))</f>
        <v>0</v>
      </c>
      <c r="E20" s="12">
        <f>SUMIFS(Events!$E$2:$E$10000,Events!$A$2:$A$10000,"&gt;="&amp;A20,Events!$A$2:$A$10000,"&lt;"&amp;EDATE(A20,1))</f>
        <v>0</v>
      </c>
      <c r="F20" s="12">
        <f>SUMIFS(Events!$F$2:$F$10000,Events!$A$2:$A$10000,"&gt;="&amp;A20,Events!$A$2:$A$10000,"&lt;"&amp;EDATE(A20,1))</f>
        <v>0</v>
      </c>
      <c r="G20" s="4"/>
    </row>
    <row r="21" spans="1:7" x14ac:dyDescent="0.2">
      <c r="A21" s="11">
        <v>40756</v>
      </c>
      <c r="B21" s="12">
        <f>COUNTIFS(Events!$A$2:$A$10000,"&gt;="&amp;A21,Events!$A$2:$A$10000,"&lt;"&amp;EDATE(A21,1))</f>
        <v>0</v>
      </c>
      <c r="C21" s="12">
        <f>SUMIFS(Events!$C$2:$C$10000,Events!$A$2:$A$10000,"&gt;="&amp;A21,Events!$A$2:$A$10000,"&lt;"&amp;EDATE(A21,1))</f>
        <v>0</v>
      </c>
      <c r="D21" s="12">
        <f>SUMIFS(Events!$D$2:$D$10000,Events!$A$2:$A$10000,"&gt;="&amp;A21,Events!$A$2:$A$10000,"&lt;"&amp;EDATE(A21,1))</f>
        <v>0</v>
      </c>
      <c r="E21" s="12">
        <f>SUMIFS(Events!$E$2:$E$10000,Events!$A$2:$A$10000,"&gt;="&amp;A21,Events!$A$2:$A$10000,"&lt;"&amp;EDATE(A21,1))</f>
        <v>0</v>
      </c>
      <c r="F21" s="12">
        <f>SUMIFS(Events!$F$2:$F$10000,Events!$A$2:$A$10000,"&gt;="&amp;A21,Events!$A$2:$A$10000,"&lt;"&amp;EDATE(A21,1))</f>
        <v>0</v>
      </c>
      <c r="G21" s="4"/>
    </row>
    <row r="22" spans="1:7" x14ac:dyDescent="0.2">
      <c r="A22" s="11">
        <v>40787</v>
      </c>
      <c r="B22" s="12">
        <f>COUNTIFS(Events!$A$2:$A$10000,"&gt;="&amp;A22,Events!$A$2:$A$10000,"&lt;"&amp;EDATE(A22,1))</f>
        <v>0</v>
      </c>
      <c r="C22" s="12">
        <f>SUMIFS(Events!$C$2:$C$10000,Events!$A$2:$A$10000,"&gt;="&amp;A22,Events!$A$2:$A$10000,"&lt;"&amp;EDATE(A22,1))</f>
        <v>0</v>
      </c>
      <c r="D22" s="12">
        <f>SUMIFS(Events!$D$2:$D$10000,Events!$A$2:$A$10000,"&gt;="&amp;A22,Events!$A$2:$A$10000,"&lt;"&amp;EDATE(A22,1))</f>
        <v>0</v>
      </c>
      <c r="E22" s="12">
        <f>SUMIFS(Events!$E$2:$E$10000,Events!$A$2:$A$10000,"&gt;="&amp;A22,Events!$A$2:$A$10000,"&lt;"&amp;EDATE(A22,1))</f>
        <v>0</v>
      </c>
      <c r="F22" s="12">
        <f>SUMIFS(Events!$F$2:$F$10000,Events!$A$2:$A$10000,"&gt;="&amp;A22,Events!$A$2:$A$10000,"&lt;"&amp;EDATE(A22,1))</f>
        <v>0</v>
      </c>
      <c r="G22" s="4"/>
    </row>
    <row r="23" spans="1:7" x14ac:dyDescent="0.2">
      <c r="A23" s="11">
        <v>40817</v>
      </c>
      <c r="B23" s="12">
        <f>COUNTIFS(Events!$A$2:$A$10000,"&gt;="&amp;A23,Events!$A$2:$A$10000,"&lt;"&amp;EDATE(A23,1))</f>
        <v>0</v>
      </c>
      <c r="C23" s="12">
        <f>SUMIFS(Events!$C$2:$C$10000,Events!$A$2:$A$10000,"&gt;="&amp;A23,Events!$A$2:$A$10000,"&lt;"&amp;EDATE(A23,1))</f>
        <v>0</v>
      </c>
      <c r="D23" s="12">
        <f>SUMIFS(Events!$D$2:$D$10000,Events!$A$2:$A$10000,"&gt;="&amp;A23,Events!$A$2:$A$10000,"&lt;"&amp;EDATE(A23,1))</f>
        <v>0</v>
      </c>
      <c r="E23" s="12">
        <f>SUMIFS(Events!$E$2:$E$10000,Events!$A$2:$A$10000,"&gt;="&amp;A23,Events!$A$2:$A$10000,"&lt;"&amp;EDATE(A23,1))</f>
        <v>0</v>
      </c>
      <c r="F23" s="12">
        <f>SUMIFS(Events!$F$2:$F$10000,Events!$A$2:$A$10000,"&gt;="&amp;A23,Events!$A$2:$A$10000,"&lt;"&amp;EDATE(A23,1))</f>
        <v>0</v>
      </c>
      <c r="G23" s="4"/>
    </row>
    <row r="24" spans="1:7" x14ac:dyDescent="0.2">
      <c r="A24" s="11">
        <v>40848</v>
      </c>
      <c r="B24" s="12">
        <f>COUNTIFS(Events!$A$2:$A$10000,"&gt;="&amp;A24,Events!$A$2:$A$10000,"&lt;"&amp;EDATE(A24,1))</f>
        <v>0</v>
      </c>
      <c r="C24" s="12">
        <f>SUMIFS(Events!$C$2:$C$10000,Events!$A$2:$A$10000,"&gt;="&amp;A24,Events!$A$2:$A$10000,"&lt;"&amp;EDATE(A24,1))</f>
        <v>0</v>
      </c>
      <c r="D24" s="12">
        <f>SUMIFS(Events!$D$2:$D$10000,Events!$A$2:$A$10000,"&gt;="&amp;A24,Events!$A$2:$A$10000,"&lt;"&amp;EDATE(A24,1))</f>
        <v>0</v>
      </c>
      <c r="E24" s="12">
        <f>SUMIFS(Events!$E$2:$E$10000,Events!$A$2:$A$10000,"&gt;="&amp;A24,Events!$A$2:$A$10000,"&lt;"&amp;EDATE(A24,1))</f>
        <v>0</v>
      </c>
      <c r="F24" s="12">
        <f>SUMIFS(Events!$F$2:$F$10000,Events!$A$2:$A$10000,"&gt;="&amp;A24,Events!$A$2:$A$10000,"&lt;"&amp;EDATE(A24,1))</f>
        <v>0</v>
      </c>
      <c r="G24" s="4"/>
    </row>
    <row r="25" spans="1:7" x14ac:dyDescent="0.2">
      <c r="A25" s="11">
        <v>40878</v>
      </c>
      <c r="B25" s="12">
        <f>COUNTIFS(Events!$A$2:$A$10000,"&gt;="&amp;A25,Events!$A$2:$A$10000,"&lt;"&amp;EDATE(A25,1))</f>
        <v>1</v>
      </c>
      <c r="C25" s="12">
        <f>SUMIFS(Events!$C$2:$C$10000,Events!$A$2:$A$10000,"&gt;="&amp;A25,Events!$A$2:$A$10000,"&lt;"&amp;EDATE(A25,1))</f>
        <v>1</v>
      </c>
      <c r="D25" s="12">
        <f>SUMIFS(Events!$D$2:$D$10000,Events!$A$2:$A$10000,"&gt;="&amp;A25,Events!$A$2:$A$10000,"&lt;"&amp;EDATE(A25,1))</f>
        <v>0</v>
      </c>
      <c r="E25" s="12">
        <f>SUMIFS(Events!$E$2:$E$10000,Events!$A$2:$A$10000,"&gt;="&amp;A25,Events!$A$2:$A$10000,"&lt;"&amp;EDATE(A25,1))</f>
        <v>0</v>
      </c>
      <c r="F25" s="12">
        <f>SUMIFS(Events!$F$2:$F$10000,Events!$A$2:$A$10000,"&gt;="&amp;A25,Events!$A$2:$A$10000,"&lt;"&amp;EDATE(A25,1))</f>
        <v>0</v>
      </c>
      <c r="G25" s="4"/>
    </row>
    <row r="26" spans="1:7" x14ac:dyDescent="0.2">
      <c r="A26" s="11">
        <v>40909</v>
      </c>
      <c r="B26" s="12">
        <f>COUNTIFS(Events!$A$2:$A$10000,"&gt;="&amp;A26,Events!$A$2:$A$10000,"&lt;"&amp;EDATE(A26,1))</f>
        <v>0</v>
      </c>
      <c r="C26" s="12">
        <f>SUMIFS(Events!$C$2:$C$10000,Events!$A$2:$A$10000,"&gt;="&amp;A26,Events!$A$2:$A$10000,"&lt;"&amp;EDATE(A26,1))</f>
        <v>0</v>
      </c>
      <c r="D26" s="12">
        <f>SUMIFS(Events!$D$2:$D$10000,Events!$A$2:$A$10000,"&gt;="&amp;A26,Events!$A$2:$A$10000,"&lt;"&amp;EDATE(A26,1))</f>
        <v>0</v>
      </c>
      <c r="E26" s="12">
        <f>SUMIFS(Events!$E$2:$E$10000,Events!$A$2:$A$10000,"&gt;="&amp;A26,Events!$A$2:$A$10000,"&lt;"&amp;EDATE(A26,1))</f>
        <v>0</v>
      </c>
      <c r="F26" s="12">
        <f>SUMIFS(Events!$F$2:$F$10000,Events!$A$2:$A$10000,"&gt;="&amp;A26,Events!$A$2:$A$10000,"&lt;"&amp;EDATE(A26,1))</f>
        <v>0</v>
      </c>
      <c r="G26" s="4"/>
    </row>
    <row r="27" spans="1:7" x14ac:dyDescent="0.2">
      <c r="A27" s="11">
        <v>40940</v>
      </c>
      <c r="B27" s="12">
        <f>COUNTIFS(Events!$A$2:$A$10000,"&gt;="&amp;A27,Events!$A$2:$A$10000,"&lt;"&amp;EDATE(A27,1))</f>
        <v>1</v>
      </c>
      <c r="C27" s="12">
        <f>SUMIFS(Events!$C$2:$C$10000,Events!$A$2:$A$10000,"&gt;="&amp;A27,Events!$A$2:$A$10000,"&lt;"&amp;EDATE(A27,1))</f>
        <v>0</v>
      </c>
      <c r="D27" s="12">
        <f>SUMIFS(Events!$D$2:$D$10000,Events!$A$2:$A$10000,"&gt;="&amp;A27,Events!$A$2:$A$10000,"&lt;"&amp;EDATE(A27,1))</f>
        <v>0</v>
      </c>
      <c r="E27" s="12">
        <f>SUMIFS(Events!$E$2:$E$10000,Events!$A$2:$A$10000,"&gt;="&amp;A27,Events!$A$2:$A$10000,"&lt;"&amp;EDATE(A27,1))</f>
        <v>0</v>
      </c>
      <c r="F27" s="12">
        <f>SUMIFS(Events!$F$2:$F$10000,Events!$A$2:$A$10000,"&gt;="&amp;A27,Events!$A$2:$A$10000,"&lt;"&amp;EDATE(A27,1))</f>
        <v>1</v>
      </c>
      <c r="G27" s="4"/>
    </row>
    <row r="28" spans="1:7" x14ac:dyDescent="0.2">
      <c r="A28" s="11">
        <v>40969</v>
      </c>
      <c r="B28" s="12">
        <f>COUNTIFS(Events!$A$2:$A$10000,"&gt;="&amp;A28,Events!$A$2:$A$10000,"&lt;"&amp;EDATE(A28,1))</f>
        <v>0</v>
      </c>
      <c r="C28" s="12">
        <f>SUMIFS(Events!$C$2:$C$10000,Events!$A$2:$A$10000,"&gt;="&amp;A28,Events!$A$2:$A$10000,"&lt;"&amp;EDATE(A28,1))</f>
        <v>0</v>
      </c>
      <c r="D28" s="12">
        <f>SUMIFS(Events!$D$2:$D$10000,Events!$A$2:$A$10000,"&gt;="&amp;A28,Events!$A$2:$A$10000,"&lt;"&amp;EDATE(A28,1))</f>
        <v>0</v>
      </c>
      <c r="E28" s="12">
        <f>SUMIFS(Events!$E$2:$E$10000,Events!$A$2:$A$10000,"&gt;="&amp;A28,Events!$A$2:$A$10000,"&lt;"&amp;EDATE(A28,1))</f>
        <v>0</v>
      </c>
      <c r="F28" s="12">
        <f>SUMIFS(Events!$F$2:$F$10000,Events!$A$2:$A$10000,"&gt;="&amp;A28,Events!$A$2:$A$10000,"&lt;"&amp;EDATE(A28,1))</f>
        <v>0</v>
      </c>
      <c r="G28" s="4"/>
    </row>
    <row r="29" spans="1:7" x14ac:dyDescent="0.2">
      <c r="A29" s="11">
        <v>41000</v>
      </c>
      <c r="B29" s="12">
        <f>COUNTIFS(Events!$A$2:$A$10000,"&gt;="&amp;A29,Events!$A$2:$A$10000,"&lt;"&amp;EDATE(A29,1))</f>
        <v>0</v>
      </c>
      <c r="C29" s="12">
        <f>SUMIFS(Events!$C$2:$C$10000,Events!$A$2:$A$10000,"&gt;="&amp;A29,Events!$A$2:$A$10000,"&lt;"&amp;EDATE(A29,1))</f>
        <v>0</v>
      </c>
      <c r="D29" s="12">
        <f>SUMIFS(Events!$D$2:$D$10000,Events!$A$2:$A$10000,"&gt;="&amp;A29,Events!$A$2:$A$10000,"&lt;"&amp;EDATE(A29,1))</f>
        <v>0</v>
      </c>
      <c r="E29" s="12">
        <f>SUMIFS(Events!$E$2:$E$10000,Events!$A$2:$A$10000,"&gt;="&amp;A29,Events!$A$2:$A$10000,"&lt;"&amp;EDATE(A29,1))</f>
        <v>0</v>
      </c>
      <c r="F29" s="12">
        <f>SUMIFS(Events!$F$2:$F$10000,Events!$A$2:$A$10000,"&gt;="&amp;A29,Events!$A$2:$A$10000,"&lt;"&amp;EDATE(A29,1))</f>
        <v>0</v>
      </c>
      <c r="G29" s="4"/>
    </row>
    <row r="30" spans="1:7" x14ac:dyDescent="0.2">
      <c r="A30" s="11">
        <v>41030</v>
      </c>
      <c r="B30" s="12">
        <f>COUNTIFS(Events!$A$2:$A$10000,"&gt;="&amp;A30,Events!$A$2:$A$10000,"&lt;"&amp;EDATE(A30,1))</f>
        <v>0</v>
      </c>
      <c r="C30" s="12">
        <f>SUMIFS(Events!$C$2:$C$10000,Events!$A$2:$A$10000,"&gt;="&amp;A30,Events!$A$2:$A$10000,"&lt;"&amp;EDATE(A30,1))</f>
        <v>0</v>
      </c>
      <c r="D30" s="12">
        <f>SUMIFS(Events!$D$2:$D$10000,Events!$A$2:$A$10000,"&gt;="&amp;A30,Events!$A$2:$A$10000,"&lt;"&amp;EDATE(A30,1))</f>
        <v>0</v>
      </c>
      <c r="E30" s="12">
        <f>SUMIFS(Events!$E$2:$E$10000,Events!$A$2:$A$10000,"&gt;="&amp;A30,Events!$A$2:$A$10000,"&lt;"&amp;EDATE(A30,1))</f>
        <v>0</v>
      </c>
      <c r="F30" s="12">
        <f>SUMIFS(Events!$F$2:$F$10000,Events!$A$2:$A$10000,"&gt;="&amp;A30,Events!$A$2:$A$10000,"&lt;"&amp;EDATE(A30,1))</f>
        <v>0</v>
      </c>
      <c r="G30" s="4"/>
    </row>
    <row r="31" spans="1:7" x14ac:dyDescent="0.2">
      <c r="A31" s="11">
        <v>41061</v>
      </c>
      <c r="B31" s="12">
        <f>COUNTIFS(Events!$A$2:$A$10000,"&gt;="&amp;A31,Events!$A$2:$A$10000,"&lt;"&amp;EDATE(A31,1))</f>
        <v>0</v>
      </c>
      <c r="C31" s="12">
        <f>SUMIFS(Events!$C$2:$C$10000,Events!$A$2:$A$10000,"&gt;="&amp;A31,Events!$A$2:$A$10000,"&lt;"&amp;EDATE(A31,1))</f>
        <v>0</v>
      </c>
      <c r="D31" s="12">
        <f>SUMIFS(Events!$D$2:$D$10000,Events!$A$2:$A$10000,"&gt;="&amp;A31,Events!$A$2:$A$10000,"&lt;"&amp;EDATE(A31,1))</f>
        <v>0</v>
      </c>
      <c r="E31" s="12">
        <f>SUMIFS(Events!$E$2:$E$10000,Events!$A$2:$A$10000,"&gt;="&amp;A31,Events!$A$2:$A$10000,"&lt;"&amp;EDATE(A31,1))</f>
        <v>0</v>
      </c>
      <c r="F31" s="12">
        <f>SUMIFS(Events!$F$2:$F$10000,Events!$A$2:$A$10000,"&gt;="&amp;A31,Events!$A$2:$A$10000,"&lt;"&amp;EDATE(A31,1))</f>
        <v>0</v>
      </c>
      <c r="G31" s="4"/>
    </row>
    <row r="32" spans="1:7" x14ac:dyDescent="0.2">
      <c r="A32" s="11">
        <v>41091</v>
      </c>
      <c r="B32" s="12">
        <f>COUNTIFS(Events!$A$2:$A$10000,"&gt;="&amp;A32,Events!$A$2:$A$10000,"&lt;"&amp;EDATE(A32,1))</f>
        <v>0</v>
      </c>
      <c r="C32" s="12">
        <f>SUMIFS(Events!$C$2:$C$10000,Events!$A$2:$A$10000,"&gt;="&amp;A32,Events!$A$2:$A$10000,"&lt;"&amp;EDATE(A32,1))</f>
        <v>0</v>
      </c>
      <c r="D32" s="12">
        <f>SUMIFS(Events!$D$2:$D$10000,Events!$A$2:$A$10000,"&gt;="&amp;A32,Events!$A$2:$A$10000,"&lt;"&amp;EDATE(A32,1))</f>
        <v>0</v>
      </c>
      <c r="E32" s="12">
        <f>SUMIFS(Events!$E$2:$E$10000,Events!$A$2:$A$10000,"&gt;="&amp;A32,Events!$A$2:$A$10000,"&lt;"&amp;EDATE(A32,1))</f>
        <v>0</v>
      </c>
      <c r="F32" s="12">
        <f>SUMIFS(Events!$F$2:$F$10000,Events!$A$2:$A$10000,"&gt;="&amp;A32,Events!$A$2:$A$10000,"&lt;"&amp;EDATE(A32,1))</f>
        <v>0</v>
      </c>
      <c r="G32" s="4"/>
    </row>
    <row r="33" spans="1:7" x14ac:dyDescent="0.2">
      <c r="A33" s="11">
        <v>41122</v>
      </c>
      <c r="B33" s="12">
        <f>COUNTIFS(Events!$A$2:$A$10000,"&gt;="&amp;A33,Events!$A$2:$A$10000,"&lt;"&amp;EDATE(A33,1))</f>
        <v>0</v>
      </c>
      <c r="C33" s="12">
        <f>SUMIFS(Events!$C$2:$C$10000,Events!$A$2:$A$10000,"&gt;="&amp;A33,Events!$A$2:$A$10000,"&lt;"&amp;EDATE(A33,1))</f>
        <v>0</v>
      </c>
      <c r="D33" s="12">
        <f>SUMIFS(Events!$D$2:$D$10000,Events!$A$2:$A$10000,"&gt;="&amp;A33,Events!$A$2:$A$10000,"&lt;"&amp;EDATE(A33,1))</f>
        <v>0</v>
      </c>
      <c r="E33" s="12">
        <f>SUMIFS(Events!$E$2:$E$10000,Events!$A$2:$A$10000,"&gt;="&amp;A33,Events!$A$2:$A$10000,"&lt;"&amp;EDATE(A33,1))</f>
        <v>0</v>
      </c>
      <c r="F33" s="12">
        <f>SUMIFS(Events!$F$2:$F$10000,Events!$A$2:$A$10000,"&gt;="&amp;A33,Events!$A$2:$A$10000,"&lt;"&amp;EDATE(A33,1))</f>
        <v>0</v>
      </c>
      <c r="G33" s="4"/>
    </row>
    <row r="34" spans="1:7" x14ac:dyDescent="0.2">
      <c r="A34" s="11">
        <v>41153</v>
      </c>
      <c r="B34" s="12">
        <f>COUNTIFS(Events!$A$2:$A$10000,"&gt;="&amp;A34,Events!$A$2:$A$10000,"&lt;"&amp;EDATE(A34,1))</f>
        <v>0</v>
      </c>
      <c r="C34" s="12">
        <f>SUMIFS(Events!$C$2:$C$10000,Events!$A$2:$A$10000,"&gt;="&amp;A34,Events!$A$2:$A$10000,"&lt;"&amp;EDATE(A34,1))</f>
        <v>0</v>
      </c>
      <c r="D34" s="12">
        <f>SUMIFS(Events!$D$2:$D$10000,Events!$A$2:$A$10000,"&gt;="&amp;A34,Events!$A$2:$A$10000,"&lt;"&amp;EDATE(A34,1))</f>
        <v>0</v>
      </c>
      <c r="E34" s="12">
        <f>SUMIFS(Events!$E$2:$E$10000,Events!$A$2:$A$10000,"&gt;="&amp;A34,Events!$A$2:$A$10000,"&lt;"&amp;EDATE(A34,1))</f>
        <v>0</v>
      </c>
      <c r="F34" s="12">
        <f>SUMIFS(Events!$F$2:$F$10000,Events!$A$2:$A$10000,"&gt;="&amp;A34,Events!$A$2:$A$10000,"&lt;"&amp;EDATE(A34,1))</f>
        <v>0</v>
      </c>
      <c r="G34" s="4"/>
    </row>
    <row r="35" spans="1:7" x14ac:dyDescent="0.2">
      <c r="A35" s="11">
        <v>41183</v>
      </c>
      <c r="B35" s="12">
        <f>COUNTIFS(Events!$A$2:$A$10000,"&gt;="&amp;A35,Events!$A$2:$A$10000,"&lt;"&amp;EDATE(A35,1))</f>
        <v>0</v>
      </c>
      <c r="C35" s="12">
        <f>SUMIFS(Events!$C$2:$C$10000,Events!$A$2:$A$10000,"&gt;="&amp;A35,Events!$A$2:$A$10000,"&lt;"&amp;EDATE(A35,1))</f>
        <v>0</v>
      </c>
      <c r="D35" s="12">
        <f>SUMIFS(Events!$D$2:$D$10000,Events!$A$2:$A$10000,"&gt;="&amp;A35,Events!$A$2:$A$10000,"&lt;"&amp;EDATE(A35,1))</f>
        <v>0</v>
      </c>
      <c r="E35" s="12">
        <f>SUMIFS(Events!$E$2:$E$10000,Events!$A$2:$A$10000,"&gt;="&amp;A35,Events!$A$2:$A$10000,"&lt;"&amp;EDATE(A35,1))</f>
        <v>0</v>
      </c>
      <c r="F35" s="12">
        <f>SUMIFS(Events!$F$2:$F$10000,Events!$A$2:$A$10000,"&gt;="&amp;A35,Events!$A$2:$A$10000,"&lt;"&amp;EDATE(A35,1))</f>
        <v>0</v>
      </c>
      <c r="G35" s="4"/>
    </row>
    <row r="36" spans="1:7" x14ac:dyDescent="0.2">
      <c r="A36" s="11">
        <v>41214</v>
      </c>
      <c r="B36" s="12">
        <f>COUNTIFS(Events!$A$2:$A$10000,"&gt;="&amp;A36,Events!$A$2:$A$10000,"&lt;"&amp;EDATE(A36,1))</f>
        <v>0</v>
      </c>
      <c r="C36" s="12">
        <f>SUMIFS(Events!$C$2:$C$10000,Events!$A$2:$A$10000,"&gt;="&amp;A36,Events!$A$2:$A$10000,"&lt;"&amp;EDATE(A36,1))</f>
        <v>0</v>
      </c>
      <c r="D36" s="12">
        <f>SUMIFS(Events!$D$2:$D$10000,Events!$A$2:$A$10000,"&gt;="&amp;A36,Events!$A$2:$A$10000,"&lt;"&amp;EDATE(A36,1))</f>
        <v>0</v>
      </c>
      <c r="E36" s="12">
        <f>SUMIFS(Events!$E$2:$E$10000,Events!$A$2:$A$10000,"&gt;="&amp;A36,Events!$A$2:$A$10000,"&lt;"&amp;EDATE(A36,1))</f>
        <v>0</v>
      </c>
      <c r="F36" s="12">
        <f>SUMIFS(Events!$F$2:$F$10000,Events!$A$2:$A$10000,"&gt;="&amp;A36,Events!$A$2:$A$10000,"&lt;"&amp;EDATE(A36,1))</f>
        <v>0</v>
      </c>
      <c r="G36" s="4"/>
    </row>
    <row r="37" spans="1:7" x14ac:dyDescent="0.2">
      <c r="A37" s="11">
        <v>41244</v>
      </c>
      <c r="B37" s="12">
        <f>COUNTIFS(Events!$A$2:$A$10000,"&gt;="&amp;A37,Events!$A$2:$A$10000,"&lt;"&amp;EDATE(A37,1))</f>
        <v>0</v>
      </c>
      <c r="C37" s="12">
        <f>SUMIFS(Events!$C$2:$C$10000,Events!$A$2:$A$10000,"&gt;="&amp;A37,Events!$A$2:$A$10000,"&lt;"&amp;EDATE(A37,1))</f>
        <v>0</v>
      </c>
      <c r="D37" s="12">
        <f>SUMIFS(Events!$D$2:$D$10000,Events!$A$2:$A$10000,"&gt;="&amp;A37,Events!$A$2:$A$10000,"&lt;"&amp;EDATE(A37,1))</f>
        <v>0</v>
      </c>
      <c r="E37" s="12">
        <f>SUMIFS(Events!$E$2:$E$10000,Events!$A$2:$A$10000,"&gt;="&amp;A37,Events!$A$2:$A$10000,"&lt;"&amp;EDATE(A37,1))</f>
        <v>0</v>
      </c>
      <c r="F37" s="12">
        <f>SUMIFS(Events!$F$2:$F$10000,Events!$A$2:$A$10000,"&gt;="&amp;A37,Events!$A$2:$A$10000,"&lt;"&amp;EDATE(A37,1))</f>
        <v>0</v>
      </c>
      <c r="G37" s="4"/>
    </row>
    <row r="38" spans="1:7" x14ac:dyDescent="0.2">
      <c r="A38" s="11">
        <v>41275</v>
      </c>
      <c r="B38" s="12">
        <f>COUNTIFS(Events!$A$2:$A$10000,"&gt;="&amp;A38,Events!$A$2:$A$10000,"&lt;"&amp;EDATE(A38,1))</f>
        <v>0</v>
      </c>
      <c r="C38" s="12">
        <f>SUMIFS(Events!$C$2:$C$10000,Events!$A$2:$A$10000,"&gt;="&amp;A38,Events!$A$2:$A$10000,"&lt;"&amp;EDATE(A38,1))</f>
        <v>0</v>
      </c>
      <c r="D38" s="12">
        <f>SUMIFS(Events!$D$2:$D$10000,Events!$A$2:$A$10000,"&gt;="&amp;A38,Events!$A$2:$A$10000,"&lt;"&amp;EDATE(A38,1))</f>
        <v>0</v>
      </c>
      <c r="E38" s="12">
        <f>SUMIFS(Events!$E$2:$E$10000,Events!$A$2:$A$10000,"&gt;="&amp;A38,Events!$A$2:$A$10000,"&lt;"&amp;EDATE(A38,1))</f>
        <v>0</v>
      </c>
      <c r="F38" s="12">
        <f>SUMIFS(Events!$F$2:$F$10000,Events!$A$2:$A$10000,"&gt;="&amp;A38,Events!$A$2:$A$10000,"&lt;"&amp;EDATE(A38,1))</f>
        <v>0</v>
      </c>
      <c r="G38" s="4"/>
    </row>
    <row r="39" spans="1:7" x14ac:dyDescent="0.2">
      <c r="A39" s="11">
        <v>41306</v>
      </c>
      <c r="B39" s="12">
        <f>COUNTIFS(Events!$A$2:$A$10000,"&gt;="&amp;A39,Events!$A$2:$A$10000,"&lt;"&amp;EDATE(A39,1))</f>
        <v>0</v>
      </c>
      <c r="C39" s="12">
        <f>SUMIFS(Events!$C$2:$C$10000,Events!$A$2:$A$10000,"&gt;="&amp;A39,Events!$A$2:$A$10000,"&lt;"&amp;EDATE(A39,1))</f>
        <v>0</v>
      </c>
      <c r="D39" s="12">
        <f>SUMIFS(Events!$D$2:$D$10000,Events!$A$2:$A$10000,"&gt;="&amp;A39,Events!$A$2:$A$10000,"&lt;"&amp;EDATE(A39,1))</f>
        <v>0</v>
      </c>
      <c r="E39" s="12">
        <f>SUMIFS(Events!$E$2:$E$10000,Events!$A$2:$A$10000,"&gt;="&amp;A39,Events!$A$2:$A$10000,"&lt;"&amp;EDATE(A39,1))</f>
        <v>0</v>
      </c>
      <c r="F39" s="12">
        <f>SUMIFS(Events!$F$2:$F$10000,Events!$A$2:$A$10000,"&gt;="&amp;A39,Events!$A$2:$A$10000,"&lt;"&amp;EDATE(A39,1))</f>
        <v>0</v>
      </c>
      <c r="G39" s="4"/>
    </row>
    <row r="40" spans="1:7" x14ac:dyDescent="0.2">
      <c r="A40" s="11">
        <v>41334</v>
      </c>
      <c r="B40" s="12">
        <f>COUNTIFS(Events!$A$2:$A$10000,"&gt;="&amp;A40,Events!$A$2:$A$10000,"&lt;"&amp;EDATE(A40,1))</f>
        <v>1</v>
      </c>
      <c r="C40" s="12">
        <f>SUMIFS(Events!$C$2:$C$10000,Events!$A$2:$A$10000,"&gt;="&amp;A40,Events!$A$2:$A$10000,"&lt;"&amp;EDATE(A40,1))</f>
        <v>0</v>
      </c>
      <c r="D40" s="12">
        <f>SUMIFS(Events!$D$2:$D$10000,Events!$A$2:$A$10000,"&gt;="&amp;A40,Events!$A$2:$A$10000,"&lt;"&amp;EDATE(A40,1))</f>
        <v>0</v>
      </c>
      <c r="E40" s="12">
        <f>SUMIFS(Events!$E$2:$E$10000,Events!$A$2:$A$10000,"&gt;="&amp;A40,Events!$A$2:$A$10000,"&lt;"&amp;EDATE(A40,1))</f>
        <v>0</v>
      </c>
      <c r="F40" s="12">
        <f>SUMIFS(Events!$F$2:$F$10000,Events!$A$2:$A$10000,"&gt;="&amp;A40,Events!$A$2:$A$10000,"&lt;"&amp;EDATE(A40,1))</f>
        <v>1</v>
      </c>
      <c r="G40" s="4"/>
    </row>
    <row r="41" spans="1:7" x14ac:dyDescent="0.2">
      <c r="A41" s="11">
        <v>41365</v>
      </c>
      <c r="B41" s="12">
        <f>COUNTIFS(Events!$A$2:$A$10000,"&gt;="&amp;A41,Events!$A$2:$A$10000,"&lt;"&amp;EDATE(A41,1))</f>
        <v>3</v>
      </c>
      <c r="C41" s="12">
        <f>SUMIFS(Events!$C$2:$C$10000,Events!$A$2:$A$10000,"&gt;="&amp;A41,Events!$A$2:$A$10000,"&lt;"&amp;EDATE(A41,1))</f>
        <v>3</v>
      </c>
      <c r="D41" s="12">
        <f>SUMIFS(Events!$D$2:$D$10000,Events!$A$2:$A$10000,"&gt;="&amp;A41,Events!$A$2:$A$10000,"&lt;"&amp;EDATE(A41,1))</f>
        <v>0</v>
      </c>
      <c r="E41" s="12">
        <f>SUMIFS(Events!$E$2:$E$10000,Events!$A$2:$A$10000,"&gt;="&amp;A41,Events!$A$2:$A$10000,"&lt;"&amp;EDATE(A41,1))</f>
        <v>0</v>
      </c>
      <c r="F41" s="12">
        <f>SUMIFS(Events!$F$2:$F$10000,Events!$A$2:$A$10000,"&gt;="&amp;A41,Events!$A$2:$A$10000,"&lt;"&amp;EDATE(A41,1))</f>
        <v>0</v>
      </c>
      <c r="G41" s="4"/>
    </row>
    <row r="42" spans="1:7" x14ac:dyDescent="0.2">
      <c r="A42" s="11">
        <v>41395</v>
      </c>
      <c r="B42" s="12">
        <f>COUNTIFS(Events!$A$2:$A$10000,"&gt;="&amp;A42,Events!$A$2:$A$10000,"&lt;"&amp;EDATE(A42,1))</f>
        <v>0</v>
      </c>
      <c r="C42" s="12">
        <f>SUMIFS(Events!$C$2:$C$10000,Events!$A$2:$A$10000,"&gt;="&amp;A42,Events!$A$2:$A$10000,"&lt;"&amp;EDATE(A42,1))</f>
        <v>0</v>
      </c>
      <c r="D42" s="12">
        <f>SUMIFS(Events!$D$2:$D$10000,Events!$A$2:$A$10000,"&gt;="&amp;A42,Events!$A$2:$A$10000,"&lt;"&amp;EDATE(A42,1))</f>
        <v>0</v>
      </c>
      <c r="E42" s="12">
        <f>SUMIFS(Events!$E$2:$E$10000,Events!$A$2:$A$10000,"&gt;="&amp;A42,Events!$A$2:$A$10000,"&lt;"&amp;EDATE(A42,1))</f>
        <v>0</v>
      </c>
      <c r="F42" s="12">
        <f>SUMIFS(Events!$F$2:$F$10000,Events!$A$2:$A$10000,"&gt;="&amp;A42,Events!$A$2:$A$10000,"&lt;"&amp;EDATE(A42,1))</f>
        <v>0</v>
      </c>
      <c r="G42" s="4"/>
    </row>
    <row r="43" spans="1:7" x14ac:dyDescent="0.2">
      <c r="A43" s="11">
        <v>41426</v>
      </c>
      <c r="B43" s="12">
        <f>COUNTIFS(Events!$A$2:$A$10000,"&gt;="&amp;A43,Events!$A$2:$A$10000,"&lt;"&amp;EDATE(A43,1))</f>
        <v>0</v>
      </c>
      <c r="C43" s="12">
        <f>SUMIFS(Events!$C$2:$C$10000,Events!$A$2:$A$10000,"&gt;="&amp;A43,Events!$A$2:$A$10000,"&lt;"&amp;EDATE(A43,1))</f>
        <v>0</v>
      </c>
      <c r="D43" s="12">
        <f>SUMIFS(Events!$D$2:$D$10000,Events!$A$2:$A$10000,"&gt;="&amp;A43,Events!$A$2:$A$10000,"&lt;"&amp;EDATE(A43,1))</f>
        <v>0</v>
      </c>
      <c r="E43" s="12">
        <f>SUMIFS(Events!$E$2:$E$10000,Events!$A$2:$A$10000,"&gt;="&amp;A43,Events!$A$2:$A$10000,"&lt;"&amp;EDATE(A43,1))</f>
        <v>0</v>
      </c>
      <c r="F43" s="12">
        <f>SUMIFS(Events!$F$2:$F$10000,Events!$A$2:$A$10000,"&gt;="&amp;A43,Events!$A$2:$A$10000,"&lt;"&amp;EDATE(A43,1))</f>
        <v>0</v>
      </c>
      <c r="G43" s="4"/>
    </row>
    <row r="44" spans="1:7" x14ac:dyDescent="0.2">
      <c r="A44" s="11">
        <v>41456</v>
      </c>
      <c r="B44" s="12">
        <f>COUNTIFS(Events!$A$2:$A$10000,"&gt;="&amp;A44,Events!$A$2:$A$10000,"&lt;"&amp;EDATE(A44,1))</f>
        <v>1</v>
      </c>
      <c r="C44" s="12">
        <f>SUMIFS(Events!$C$2:$C$10000,Events!$A$2:$A$10000,"&gt;="&amp;A44,Events!$A$2:$A$10000,"&lt;"&amp;EDATE(A44,1))</f>
        <v>1</v>
      </c>
      <c r="D44" s="12">
        <f>SUMIFS(Events!$D$2:$D$10000,Events!$A$2:$A$10000,"&gt;="&amp;A44,Events!$A$2:$A$10000,"&lt;"&amp;EDATE(A44,1))</f>
        <v>0</v>
      </c>
      <c r="E44" s="12">
        <f>SUMIFS(Events!$E$2:$E$10000,Events!$A$2:$A$10000,"&gt;="&amp;A44,Events!$A$2:$A$10000,"&lt;"&amp;EDATE(A44,1))</f>
        <v>0</v>
      </c>
      <c r="F44" s="12">
        <f>SUMIFS(Events!$F$2:$F$10000,Events!$A$2:$A$10000,"&gt;="&amp;A44,Events!$A$2:$A$10000,"&lt;"&amp;EDATE(A44,1))</f>
        <v>0</v>
      </c>
      <c r="G44" s="4"/>
    </row>
    <row r="45" spans="1:7" x14ac:dyDescent="0.2">
      <c r="A45" s="11">
        <v>41487</v>
      </c>
      <c r="B45" s="12">
        <f>COUNTIFS(Events!$A$2:$A$10000,"&gt;="&amp;A45,Events!$A$2:$A$10000,"&lt;"&amp;EDATE(A45,1))</f>
        <v>0</v>
      </c>
      <c r="C45" s="12">
        <f>SUMIFS(Events!$C$2:$C$10000,Events!$A$2:$A$10000,"&gt;="&amp;A45,Events!$A$2:$A$10000,"&lt;"&amp;EDATE(A45,1))</f>
        <v>0</v>
      </c>
      <c r="D45" s="12">
        <f>SUMIFS(Events!$D$2:$D$10000,Events!$A$2:$A$10000,"&gt;="&amp;A45,Events!$A$2:$A$10000,"&lt;"&amp;EDATE(A45,1))</f>
        <v>0</v>
      </c>
      <c r="E45" s="12">
        <f>SUMIFS(Events!$E$2:$E$10000,Events!$A$2:$A$10000,"&gt;="&amp;A45,Events!$A$2:$A$10000,"&lt;"&amp;EDATE(A45,1))</f>
        <v>0</v>
      </c>
      <c r="F45" s="12">
        <f>SUMIFS(Events!$F$2:$F$10000,Events!$A$2:$A$10000,"&gt;="&amp;A45,Events!$A$2:$A$10000,"&lt;"&amp;EDATE(A45,1))</f>
        <v>0</v>
      </c>
      <c r="G45" s="4"/>
    </row>
    <row r="46" spans="1:7" x14ac:dyDescent="0.2">
      <c r="A46" s="11">
        <v>41518</v>
      </c>
      <c r="B46" s="12">
        <f>COUNTIFS(Events!$A$2:$A$10000,"&gt;="&amp;A46,Events!$A$2:$A$10000,"&lt;"&amp;EDATE(A46,1))</f>
        <v>0</v>
      </c>
      <c r="C46" s="12">
        <f>SUMIFS(Events!$C$2:$C$10000,Events!$A$2:$A$10000,"&gt;="&amp;A46,Events!$A$2:$A$10000,"&lt;"&amp;EDATE(A46,1))</f>
        <v>0</v>
      </c>
      <c r="D46" s="12">
        <f>SUMIFS(Events!$D$2:$D$10000,Events!$A$2:$A$10000,"&gt;="&amp;A46,Events!$A$2:$A$10000,"&lt;"&amp;EDATE(A46,1))</f>
        <v>0</v>
      </c>
      <c r="E46" s="12">
        <f>SUMIFS(Events!$E$2:$E$10000,Events!$A$2:$A$10000,"&gt;="&amp;A46,Events!$A$2:$A$10000,"&lt;"&amp;EDATE(A46,1))</f>
        <v>0</v>
      </c>
      <c r="F46" s="12">
        <f>SUMIFS(Events!$F$2:$F$10000,Events!$A$2:$A$10000,"&gt;="&amp;A46,Events!$A$2:$A$10000,"&lt;"&amp;EDATE(A46,1))</f>
        <v>0</v>
      </c>
      <c r="G46" s="4"/>
    </row>
    <row r="47" spans="1:7" x14ac:dyDescent="0.2">
      <c r="A47" s="11">
        <v>41548</v>
      </c>
      <c r="B47" s="12">
        <f>COUNTIFS(Events!$A$2:$A$10000,"&gt;="&amp;A47,Events!$A$2:$A$10000,"&lt;"&amp;EDATE(A47,1))</f>
        <v>0</v>
      </c>
      <c r="C47" s="12">
        <f>SUMIFS(Events!$C$2:$C$10000,Events!$A$2:$A$10000,"&gt;="&amp;A47,Events!$A$2:$A$10000,"&lt;"&amp;EDATE(A47,1))</f>
        <v>0</v>
      </c>
      <c r="D47" s="12">
        <f>SUMIFS(Events!$D$2:$D$10000,Events!$A$2:$A$10000,"&gt;="&amp;A47,Events!$A$2:$A$10000,"&lt;"&amp;EDATE(A47,1))</f>
        <v>0</v>
      </c>
      <c r="E47" s="12">
        <f>SUMIFS(Events!$E$2:$E$10000,Events!$A$2:$A$10000,"&gt;="&amp;A47,Events!$A$2:$A$10000,"&lt;"&amp;EDATE(A47,1))</f>
        <v>0</v>
      </c>
      <c r="F47" s="12">
        <f>SUMIFS(Events!$F$2:$F$10000,Events!$A$2:$A$10000,"&gt;="&amp;A47,Events!$A$2:$A$10000,"&lt;"&amp;EDATE(A47,1))</f>
        <v>0</v>
      </c>
      <c r="G47" s="4"/>
    </row>
    <row r="48" spans="1:7" x14ac:dyDescent="0.2">
      <c r="A48" s="11">
        <v>41579</v>
      </c>
      <c r="B48" s="12">
        <f>COUNTIFS(Events!$A$2:$A$10000,"&gt;="&amp;A48,Events!$A$2:$A$10000,"&lt;"&amp;EDATE(A48,1))</f>
        <v>0</v>
      </c>
      <c r="C48" s="12">
        <f>SUMIFS(Events!$C$2:$C$10000,Events!$A$2:$A$10000,"&gt;="&amp;A48,Events!$A$2:$A$10000,"&lt;"&amp;EDATE(A48,1))</f>
        <v>0</v>
      </c>
      <c r="D48" s="12">
        <f>SUMIFS(Events!$D$2:$D$10000,Events!$A$2:$A$10000,"&gt;="&amp;A48,Events!$A$2:$A$10000,"&lt;"&amp;EDATE(A48,1))</f>
        <v>0</v>
      </c>
      <c r="E48" s="12">
        <f>SUMIFS(Events!$E$2:$E$10000,Events!$A$2:$A$10000,"&gt;="&amp;A48,Events!$A$2:$A$10000,"&lt;"&amp;EDATE(A48,1))</f>
        <v>0</v>
      </c>
      <c r="F48" s="12">
        <f>SUMIFS(Events!$F$2:$F$10000,Events!$A$2:$A$10000,"&gt;="&amp;A48,Events!$A$2:$A$10000,"&lt;"&amp;EDATE(A48,1))</f>
        <v>0</v>
      </c>
      <c r="G48" s="4"/>
    </row>
    <row r="49" spans="1:7" x14ac:dyDescent="0.2">
      <c r="A49" s="11">
        <v>41609</v>
      </c>
      <c r="B49" s="12">
        <f>COUNTIFS(Events!$A$2:$A$10000,"&gt;="&amp;A49,Events!$A$2:$A$10000,"&lt;"&amp;EDATE(A49,1))</f>
        <v>0</v>
      </c>
      <c r="C49" s="12">
        <f>SUMIFS(Events!$C$2:$C$10000,Events!$A$2:$A$10000,"&gt;="&amp;A49,Events!$A$2:$A$10000,"&lt;"&amp;EDATE(A49,1))</f>
        <v>0</v>
      </c>
      <c r="D49" s="12">
        <f>SUMIFS(Events!$D$2:$D$10000,Events!$A$2:$A$10000,"&gt;="&amp;A49,Events!$A$2:$A$10000,"&lt;"&amp;EDATE(A49,1))</f>
        <v>0</v>
      </c>
      <c r="E49" s="12">
        <f>SUMIFS(Events!$E$2:$E$10000,Events!$A$2:$A$10000,"&gt;="&amp;A49,Events!$A$2:$A$10000,"&lt;"&amp;EDATE(A49,1))</f>
        <v>0</v>
      </c>
      <c r="F49" s="12">
        <f>SUMIFS(Events!$F$2:$F$10000,Events!$A$2:$A$10000,"&gt;="&amp;A49,Events!$A$2:$A$10000,"&lt;"&amp;EDATE(A49,1))</f>
        <v>0</v>
      </c>
      <c r="G49" s="4"/>
    </row>
    <row r="50" spans="1:7" x14ac:dyDescent="0.2">
      <c r="A50" s="11">
        <v>41640</v>
      </c>
      <c r="B50" s="12">
        <f>COUNTIFS(Events!$A$2:$A$10000,"&gt;="&amp;A50,Events!$A$2:$A$10000,"&lt;"&amp;EDATE(A50,1))</f>
        <v>0</v>
      </c>
      <c r="C50" s="12">
        <f>SUMIFS(Events!$C$2:$C$10000,Events!$A$2:$A$10000,"&gt;="&amp;A50,Events!$A$2:$A$10000,"&lt;"&amp;EDATE(A50,1))</f>
        <v>0</v>
      </c>
      <c r="D50" s="12">
        <f>SUMIFS(Events!$D$2:$D$10000,Events!$A$2:$A$10000,"&gt;="&amp;A50,Events!$A$2:$A$10000,"&lt;"&amp;EDATE(A50,1))</f>
        <v>0</v>
      </c>
      <c r="E50" s="12">
        <f>SUMIFS(Events!$E$2:$E$10000,Events!$A$2:$A$10000,"&gt;="&amp;A50,Events!$A$2:$A$10000,"&lt;"&amp;EDATE(A50,1))</f>
        <v>0</v>
      </c>
      <c r="F50" s="12">
        <f>SUMIFS(Events!$F$2:$F$10000,Events!$A$2:$A$10000,"&gt;="&amp;A50,Events!$A$2:$A$10000,"&lt;"&amp;EDATE(A50,1))</f>
        <v>0</v>
      </c>
      <c r="G50" s="4"/>
    </row>
    <row r="51" spans="1:7" x14ac:dyDescent="0.2">
      <c r="A51" s="11">
        <v>41671</v>
      </c>
      <c r="B51" s="12">
        <f>COUNTIFS(Events!$A$2:$A$10000,"&gt;="&amp;A51,Events!$A$2:$A$10000,"&lt;"&amp;EDATE(A51,1))</f>
        <v>0</v>
      </c>
      <c r="C51" s="12">
        <f>SUMIFS(Events!$C$2:$C$10000,Events!$A$2:$A$10000,"&gt;="&amp;A51,Events!$A$2:$A$10000,"&lt;"&amp;EDATE(A51,1))</f>
        <v>0</v>
      </c>
      <c r="D51" s="12">
        <f>SUMIFS(Events!$D$2:$D$10000,Events!$A$2:$A$10000,"&gt;="&amp;A51,Events!$A$2:$A$10000,"&lt;"&amp;EDATE(A51,1))</f>
        <v>0</v>
      </c>
      <c r="E51" s="12">
        <f>SUMIFS(Events!$E$2:$E$10000,Events!$A$2:$A$10000,"&gt;="&amp;A51,Events!$A$2:$A$10000,"&lt;"&amp;EDATE(A51,1))</f>
        <v>0</v>
      </c>
      <c r="F51" s="12">
        <f>SUMIFS(Events!$F$2:$F$10000,Events!$A$2:$A$10000,"&gt;="&amp;A51,Events!$A$2:$A$10000,"&lt;"&amp;EDATE(A51,1))</f>
        <v>0</v>
      </c>
      <c r="G51" s="4"/>
    </row>
    <row r="52" spans="1:7" x14ac:dyDescent="0.2">
      <c r="A52" s="11">
        <v>41699</v>
      </c>
      <c r="B52" s="12">
        <f>COUNTIFS(Events!$A$2:$A$10000,"&gt;="&amp;A52,Events!$A$2:$A$10000,"&lt;"&amp;EDATE(A52,1))</f>
        <v>0</v>
      </c>
      <c r="C52" s="12">
        <f>SUMIFS(Events!$C$2:$C$10000,Events!$A$2:$A$10000,"&gt;="&amp;A52,Events!$A$2:$A$10000,"&lt;"&amp;EDATE(A52,1))</f>
        <v>0</v>
      </c>
      <c r="D52" s="12">
        <f>SUMIFS(Events!$D$2:$D$10000,Events!$A$2:$A$10000,"&gt;="&amp;A52,Events!$A$2:$A$10000,"&lt;"&amp;EDATE(A52,1))</f>
        <v>0</v>
      </c>
      <c r="E52" s="12">
        <f>SUMIFS(Events!$E$2:$E$10000,Events!$A$2:$A$10000,"&gt;="&amp;A52,Events!$A$2:$A$10000,"&lt;"&amp;EDATE(A52,1))</f>
        <v>0</v>
      </c>
      <c r="F52" s="12">
        <f>SUMIFS(Events!$F$2:$F$10000,Events!$A$2:$A$10000,"&gt;="&amp;A52,Events!$A$2:$A$10000,"&lt;"&amp;EDATE(A52,1))</f>
        <v>0</v>
      </c>
      <c r="G52" s="4"/>
    </row>
    <row r="53" spans="1:7" x14ac:dyDescent="0.2">
      <c r="A53" s="11">
        <v>41730</v>
      </c>
      <c r="B53" s="12">
        <f>COUNTIFS(Events!$A$2:$A$10000,"&gt;="&amp;A53,Events!$A$2:$A$10000,"&lt;"&amp;EDATE(A53,1))</f>
        <v>2</v>
      </c>
      <c r="C53" s="12">
        <f>SUMIFS(Events!$C$2:$C$10000,Events!$A$2:$A$10000,"&gt;="&amp;A53,Events!$A$2:$A$10000,"&lt;"&amp;EDATE(A53,1))</f>
        <v>2</v>
      </c>
      <c r="D53" s="12">
        <f>SUMIFS(Events!$D$2:$D$10000,Events!$A$2:$A$10000,"&gt;="&amp;A53,Events!$A$2:$A$10000,"&lt;"&amp;EDATE(A53,1))</f>
        <v>0</v>
      </c>
      <c r="E53" s="12">
        <f>SUMIFS(Events!$E$2:$E$10000,Events!$A$2:$A$10000,"&gt;="&amp;A53,Events!$A$2:$A$10000,"&lt;"&amp;EDATE(A53,1))</f>
        <v>0</v>
      </c>
      <c r="F53" s="12">
        <f>SUMIFS(Events!$F$2:$F$10000,Events!$A$2:$A$10000,"&gt;="&amp;A53,Events!$A$2:$A$10000,"&lt;"&amp;EDATE(A53,1))</f>
        <v>0</v>
      </c>
      <c r="G53" s="4"/>
    </row>
    <row r="54" spans="1:7" x14ac:dyDescent="0.2">
      <c r="A54" s="11">
        <v>41760</v>
      </c>
      <c r="B54" s="12">
        <f>COUNTIFS(Events!$A$2:$A$10000,"&gt;="&amp;A54,Events!$A$2:$A$10000,"&lt;"&amp;EDATE(A54,1))</f>
        <v>0</v>
      </c>
      <c r="C54" s="12">
        <f>SUMIFS(Events!$C$2:$C$10000,Events!$A$2:$A$10000,"&gt;="&amp;A54,Events!$A$2:$A$10000,"&lt;"&amp;EDATE(A54,1))</f>
        <v>0</v>
      </c>
      <c r="D54" s="12">
        <f>SUMIFS(Events!$D$2:$D$10000,Events!$A$2:$A$10000,"&gt;="&amp;A54,Events!$A$2:$A$10000,"&lt;"&amp;EDATE(A54,1))</f>
        <v>0</v>
      </c>
      <c r="E54" s="12">
        <f>SUMIFS(Events!$E$2:$E$10000,Events!$A$2:$A$10000,"&gt;="&amp;A54,Events!$A$2:$A$10000,"&lt;"&amp;EDATE(A54,1))</f>
        <v>0</v>
      </c>
      <c r="F54" s="12">
        <f>SUMIFS(Events!$F$2:$F$10000,Events!$A$2:$A$10000,"&gt;="&amp;A54,Events!$A$2:$A$10000,"&lt;"&amp;EDATE(A54,1))</f>
        <v>0</v>
      </c>
      <c r="G54" s="4"/>
    </row>
    <row r="55" spans="1:7" x14ac:dyDescent="0.2">
      <c r="A55" s="11">
        <v>41791</v>
      </c>
      <c r="B55" s="12">
        <f>COUNTIFS(Events!$A$2:$A$10000,"&gt;="&amp;A55,Events!$A$2:$A$10000,"&lt;"&amp;EDATE(A55,1))</f>
        <v>0</v>
      </c>
      <c r="C55" s="12">
        <f>SUMIFS(Events!$C$2:$C$10000,Events!$A$2:$A$10000,"&gt;="&amp;A55,Events!$A$2:$A$10000,"&lt;"&amp;EDATE(A55,1))</f>
        <v>0</v>
      </c>
      <c r="D55" s="12">
        <f>SUMIFS(Events!$D$2:$D$10000,Events!$A$2:$A$10000,"&gt;="&amp;A55,Events!$A$2:$A$10000,"&lt;"&amp;EDATE(A55,1))</f>
        <v>0</v>
      </c>
      <c r="E55" s="12">
        <f>SUMIFS(Events!$E$2:$E$10000,Events!$A$2:$A$10000,"&gt;="&amp;A55,Events!$A$2:$A$10000,"&lt;"&amp;EDATE(A55,1))</f>
        <v>0</v>
      </c>
      <c r="F55" s="12">
        <f>SUMIFS(Events!$F$2:$F$10000,Events!$A$2:$A$10000,"&gt;="&amp;A55,Events!$A$2:$A$10000,"&lt;"&amp;EDATE(A55,1))</f>
        <v>0</v>
      </c>
      <c r="G55" s="4"/>
    </row>
    <row r="56" spans="1:7" x14ac:dyDescent="0.2">
      <c r="A56" s="11">
        <v>41821</v>
      </c>
      <c r="B56" s="12">
        <f>COUNTIFS(Events!$A$2:$A$10000,"&gt;="&amp;A56,Events!$A$2:$A$10000,"&lt;"&amp;EDATE(A56,1))</f>
        <v>0</v>
      </c>
      <c r="C56" s="12">
        <f>SUMIFS(Events!$C$2:$C$10000,Events!$A$2:$A$10000,"&gt;="&amp;A56,Events!$A$2:$A$10000,"&lt;"&amp;EDATE(A56,1))</f>
        <v>0</v>
      </c>
      <c r="D56" s="12">
        <f>SUMIFS(Events!$D$2:$D$10000,Events!$A$2:$A$10000,"&gt;="&amp;A56,Events!$A$2:$A$10000,"&lt;"&amp;EDATE(A56,1))</f>
        <v>0</v>
      </c>
      <c r="E56" s="12">
        <f>SUMIFS(Events!$E$2:$E$10000,Events!$A$2:$A$10000,"&gt;="&amp;A56,Events!$A$2:$A$10000,"&lt;"&amp;EDATE(A56,1))</f>
        <v>0</v>
      </c>
      <c r="F56" s="12">
        <f>SUMIFS(Events!$F$2:$F$10000,Events!$A$2:$A$10000,"&gt;="&amp;A56,Events!$A$2:$A$10000,"&lt;"&amp;EDATE(A56,1))</f>
        <v>0</v>
      </c>
      <c r="G56" s="4"/>
    </row>
    <row r="57" spans="1:7" x14ac:dyDescent="0.2">
      <c r="A57" s="11">
        <v>41852</v>
      </c>
      <c r="B57" s="12">
        <f>COUNTIFS(Events!$A$2:$A$10000,"&gt;="&amp;A57,Events!$A$2:$A$10000,"&lt;"&amp;EDATE(A57,1))</f>
        <v>0</v>
      </c>
      <c r="C57" s="12">
        <f>SUMIFS(Events!$C$2:$C$10000,Events!$A$2:$A$10000,"&gt;="&amp;A57,Events!$A$2:$A$10000,"&lt;"&amp;EDATE(A57,1))</f>
        <v>0</v>
      </c>
      <c r="D57" s="12">
        <f>SUMIFS(Events!$D$2:$D$10000,Events!$A$2:$A$10000,"&gt;="&amp;A57,Events!$A$2:$A$10000,"&lt;"&amp;EDATE(A57,1))</f>
        <v>0</v>
      </c>
      <c r="E57" s="12">
        <f>SUMIFS(Events!$E$2:$E$10000,Events!$A$2:$A$10000,"&gt;="&amp;A57,Events!$A$2:$A$10000,"&lt;"&amp;EDATE(A57,1))</f>
        <v>0</v>
      </c>
      <c r="F57" s="12">
        <f>SUMIFS(Events!$F$2:$F$10000,Events!$A$2:$A$10000,"&gt;="&amp;A57,Events!$A$2:$A$10000,"&lt;"&amp;EDATE(A57,1))</f>
        <v>0</v>
      </c>
      <c r="G57" s="4"/>
    </row>
    <row r="58" spans="1:7" x14ac:dyDescent="0.2">
      <c r="A58" s="11">
        <v>41883</v>
      </c>
      <c r="B58" s="12">
        <f>COUNTIFS(Events!$A$2:$A$10000,"&gt;="&amp;A58,Events!$A$2:$A$10000,"&lt;"&amp;EDATE(A58,1))</f>
        <v>0</v>
      </c>
      <c r="C58" s="12">
        <f>SUMIFS(Events!$C$2:$C$10000,Events!$A$2:$A$10000,"&gt;="&amp;A58,Events!$A$2:$A$10000,"&lt;"&amp;EDATE(A58,1))</f>
        <v>0</v>
      </c>
      <c r="D58" s="12">
        <f>SUMIFS(Events!$D$2:$D$10000,Events!$A$2:$A$10000,"&gt;="&amp;A58,Events!$A$2:$A$10000,"&lt;"&amp;EDATE(A58,1))</f>
        <v>0</v>
      </c>
      <c r="E58" s="12">
        <f>SUMIFS(Events!$E$2:$E$10000,Events!$A$2:$A$10000,"&gt;="&amp;A58,Events!$A$2:$A$10000,"&lt;"&amp;EDATE(A58,1))</f>
        <v>0</v>
      </c>
      <c r="F58" s="12">
        <f>SUMIFS(Events!$F$2:$F$10000,Events!$A$2:$A$10000,"&gt;="&amp;A58,Events!$A$2:$A$10000,"&lt;"&amp;EDATE(A58,1))</f>
        <v>0</v>
      </c>
      <c r="G58" s="4"/>
    </row>
    <row r="59" spans="1:7" x14ac:dyDescent="0.2">
      <c r="A59" s="11">
        <v>41913</v>
      </c>
      <c r="B59" s="12">
        <f>COUNTIFS(Events!$A$2:$A$10000,"&gt;="&amp;A59,Events!$A$2:$A$10000,"&lt;"&amp;EDATE(A59,1))</f>
        <v>0</v>
      </c>
      <c r="C59" s="12">
        <f>SUMIFS(Events!$C$2:$C$10000,Events!$A$2:$A$10000,"&gt;="&amp;A59,Events!$A$2:$A$10000,"&lt;"&amp;EDATE(A59,1))</f>
        <v>0</v>
      </c>
      <c r="D59" s="12">
        <f>SUMIFS(Events!$D$2:$D$10000,Events!$A$2:$A$10000,"&gt;="&amp;A59,Events!$A$2:$A$10000,"&lt;"&amp;EDATE(A59,1))</f>
        <v>0</v>
      </c>
      <c r="E59" s="12">
        <f>SUMIFS(Events!$E$2:$E$10000,Events!$A$2:$A$10000,"&gt;="&amp;A59,Events!$A$2:$A$10000,"&lt;"&amp;EDATE(A59,1))</f>
        <v>0</v>
      </c>
      <c r="F59" s="12">
        <f>SUMIFS(Events!$F$2:$F$10000,Events!$A$2:$A$10000,"&gt;="&amp;A59,Events!$A$2:$A$10000,"&lt;"&amp;EDATE(A59,1))</f>
        <v>0</v>
      </c>
      <c r="G59" s="4"/>
    </row>
    <row r="60" spans="1:7" x14ac:dyDescent="0.2">
      <c r="A60" s="11">
        <v>41944</v>
      </c>
      <c r="B60" s="12">
        <f>COUNTIFS(Events!$A$2:$A$10000,"&gt;="&amp;A60,Events!$A$2:$A$10000,"&lt;"&amp;EDATE(A60,1))</f>
        <v>0</v>
      </c>
      <c r="C60" s="12">
        <f>SUMIFS(Events!$C$2:$C$10000,Events!$A$2:$A$10000,"&gt;="&amp;A60,Events!$A$2:$A$10000,"&lt;"&amp;EDATE(A60,1))</f>
        <v>0</v>
      </c>
      <c r="D60" s="12">
        <f>SUMIFS(Events!$D$2:$D$10000,Events!$A$2:$A$10000,"&gt;="&amp;A60,Events!$A$2:$A$10000,"&lt;"&amp;EDATE(A60,1))</f>
        <v>0</v>
      </c>
      <c r="E60" s="12">
        <f>SUMIFS(Events!$E$2:$E$10000,Events!$A$2:$A$10000,"&gt;="&amp;A60,Events!$A$2:$A$10000,"&lt;"&amp;EDATE(A60,1))</f>
        <v>0</v>
      </c>
      <c r="F60" s="12">
        <f>SUMIFS(Events!$F$2:$F$10000,Events!$A$2:$A$10000,"&gt;="&amp;A60,Events!$A$2:$A$10000,"&lt;"&amp;EDATE(A60,1))</f>
        <v>0</v>
      </c>
      <c r="G60" s="4"/>
    </row>
    <row r="61" spans="1:7" x14ac:dyDescent="0.2">
      <c r="A61" s="11">
        <v>41974</v>
      </c>
      <c r="B61" s="12">
        <f>COUNTIFS(Events!$A$2:$A$10000,"&gt;="&amp;A61,Events!$A$2:$A$10000,"&lt;"&amp;EDATE(A61,1))</f>
        <v>0</v>
      </c>
      <c r="C61" s="12">
        <f>SUMIFS(Events!$C$2:$C$10000,Events!$A$2:$A$10000,"&gt;="&amp;A61,Events!$A$2:$A$10000,"&lt;"&amp;EDATE(A61,1))</f>
        <v>0</v>
      </c>
      <c r="D61" s="12">
        <f>SUMIFS(Events!$D$2:$D$10000,Events!$A$2:$A$10000,"&gt;="&amp;A61,Events!$A$2:$A$10000,"&lt;"&amp;EDATE(A61,1))</f>
        <v>0</v>
      </c>
      <c r="E61" s="12">
        <f>SUMIFS(Events!$E$2:$E$10000,Events!$A$2:$A$10000,"&gt;="&amp;A61,Events!$A$2:$A$10000,"&lt;"&amp;EDATE(A61,1))</f>
        <v>0</v>
      </c>
      <c r="F61" s="12">
        <f>SUMIFS(Events!$F$2:$F$10000,Events!$A$2:$A$10000,"&gt;="&amp;A61,Events!$A$2:$A$10000,"&lt;"&amp;EDATE(A61,1))</f>
        <v>0</v>
      </c>
      <c r="G61" s="4"/>
    </row>
    <row r="62" spans="1:7" x14ac:dyDescent="0.2">
      <c r="A62" s="11">
        <v>42005</v>
      </c>
      <c r="B62" s="12">
        <f>COUNTIFS(Events!$A$2:$A$10000,"&gt;="&amp;A62,Events!$A$2:$A$10000,"&lt;"&amp;EDATE(A62,1))</f>
        <v>0</v>
      </c>
      <c r="C62" s="12">
        <f>SUMIFS(Events!$C$2:$C$10000,Events!$A$2:$A$10000,"&gt;="&amp;A62,Events!$A$2:$A$10000,"&lt;"&amp;EDATE(A62,1))</f>
        <v>0</v>
      </c>
      <c r="D62" s="12">
        <f>SUMIFS(Events!$D$2:$D$10000,Events!$A$2:$A$10000,"&gt;="&amp;A62,Events!$A$2:$A$10000,"&lt;"&amp;EDATE(A62,1))</f>
        <v>0</v>
      </c>
      <c r="E62" s="12">
        <f>SUMIFS(Events!$E$2:$E$10000,Events!$A$2:$A$10000,"&gt;="&amp;A62,Events!$A$2:$A$10000,"&lt;"&amp;EDATE(A62,1))</f>
        <v>0</v>
      </c>
      <c r="F62" s="12">
        <f>SUMIFS(Events!$F$2:$F$10000,Events!$A$2:$A$10000,"&gt;="&amp;A62,Events!$A$2:$A$10000,"&lt;"&amp;EDATE(A62,1))</f>
        <v>0</v>
      </c>
      <c r="G62" s="4"/>
    </row>
    <row r="63" spans="1:7" x14ac:dyDescent="0.2">
      <c r="A63" s="11">
        <v>42036</v>
      </c>
      <c r="B63" s="12">
        <f>COUNTIFS(Events!$A$2:$A$10000,"&gt;="&amp;A63,Events!$A$2:$A$10000,"&lt;"&amp;EDATE(A63,1))</f>
        <v>0</v>
      </c>
      <c r="C63" s="12">
        <f>SUMIFS(Events!$C$2:$C$10000,Events!$A$2:$A$10000,"&gt;="&amp;A63,Events!$A$2:$A$10000,"&lt;"&amp;EDATE(A63,1))</f>
        <v>0</v>
      </c>
      <c r="D63" s="12">
        <f>SUMIFS(Events!$D$2:$D$10000,Events!$A$2:$A$10000,"&gt;="&amp;A63,Events!$A$2:$A$10000,"&lt;"&amp;EDATE(A63,1))</f>
        <v>0</v>
      </c>
      <c r="E63" s="12">
        <f>SUMIFS(Events!$E$2:$E$10000,Events!$A$2:$A$10000,"&gt;="&amp;A63,Events!$A$2:$A$10000,"&lt;"&amp;EDATE(A63,1))</f>
        <v>0</v>
      </c>
      <c r="F63" s="12">
        <f>SUMIFS(Events!$F$2:$F$10000,Events!$A$2:$A$10000,"&gt;="&amp;A63,Events!$A$2:$A$10000,"&lt;"&amp;EDATE(A63,1))</f>
        <v>0</v>
      </c>
      <c r="G63" s="4"/>
    </row>
    <row r="64" spans="1:7" x14ac:dyDescent="0.2">
      <c r="A64" s="11">
        <v>42064</v>
      </c>
      <c r="B64" s="12">
        <f>COUNTIFS(Events!$A$2:$A$10000,"&gt;="&amp;A64,Events!$A$2:$A$10000,"&lt;"&amp;EDATE(A64,1))</f>
        <v>0</v>
      </c>
      <c r="C64" s="12">
        <f>SUMIFS(Events!$C$2:$C$10000,Events!$A$2:$A$10000,"&gt;="&amp;A64,Events!$A$2:$A$10000,"&lt;"&amp;EDATE(A64,1))</f>
        <v>0</v>
      </c>
      <c r="D64" s="12">
        <f>SUMIFS(Events!$D$2:$D$10000,Events!$A$2:$A$10000,"&gt;="&amp;A64,Events!$A$2:$A$10000,"&lt;"&amp;EDATE(A64,1))</f>
        <v>0</v>
      </c>
      <c r="E64" s="12">
        <f>SUMIFS(Events!$E$2:$E$10000,Events!$A$2:$A$10000,"&gt;="&amp;A64,Events!$A$2:$A$10000,"&lt;"&amp;EDATE(A64,1))</f>
        <v>0</v>
      </c>
      <c r="F64" s="12">
        <f>SUMIFS(Events!$F$2:$F$10000,Events!$A$2:$A$10000,"&gt;="&amp;A64,Events!$A$2:$A$10000,"&lt;"&amp;EDATE(A64,1))</f>
        <v>0</v>
      </c>
      <c r="G64" s="4"/>
    </row>
    <row r="65" spans="1:7" x14ac:dyDescent="0.2">
      <c r="A65" s="11">
        <v>42095</v>
      </c>
      <c r="B65" s="12">
        <f>COUNTIFS(Events!$A$2:$A$10000,"&gt;="&amp;A65,Events!$A$2:$A$10000,"&lt;"&amp;EDATE(A65,1))</f>
        <v>0</v>
      </c>
      <c r="C65" s="12">
        <f>SUMIFS(Events!$C$2:$C$10000,Events!$A$2:$A$10000,"&gt;="&amp;A65,Events!$A$2:$A$10000,"&lt;"&amp;EDATE(A65,1))</f>
        <v>0</v>
      </c>
      <c r="D65" s="12">
        <f>SUMIFS(Events!$D$2:$D$10000,Events!$A$2:$A$10000,"&gt;="&amp;A65,Events!$A$2:$A$10000,"&lt;"&amp;EDATE(A65,1))</f>
        <v>0</v>
      </c>
      <c r="E65" s="12">
        <f>SUMIFS(Events!$E$2:$E$10000,Events!$A$2:$A$10000,"&gt;="&amp;A65,Events!$A$2:$A$10000,"&lt;"&amp;EDATE(A65,1))</f>
        <v>0</v>
      </c>
      <c r="F65" s="12">
        <f>SUMIFS(Events!$F$2:$F$10000,Events!$A$2:$A$10000,"&gt;="&amp;A65,Events!$A$2:$A$10000,"&lt;"&amp;EDATE(A65,1))</f>
        <v>0</v>
      </c>
      <c r="G65" s="4"/>
    </row>
    <row r="66" spans="1:7" x14ac:dyDescent="0.2">
      <c r="A66" s="11">
        <v>42125</v>
      </c>
      <c r="B66" s="12">
        <f>COUNTIFS(Events!$A$2:$A$10000,"&gt;="&amp;A66,Events!$A$2:$A$10000,"&lt;"&amp;EDATE(A66,1))</f>
        <v>0</v>
      </c>
      <c r="C66" s="12">
        <f>SUMIFS(Events!$C$2:$C$10000,Events!$A$2:$A$10000,"&gt;="&amp;A66,Events!$A$2:$A$10000,"&lt;"&amp;EDATE(A66,1))</f>
        <v>0</v>
      </c>
      <c r="D66" s="12">
        <f>SUMIFS(Events!$D$2:$D$10000,Events!$A$2:$A$10000,"&gt;="&amp;A66,Events!$A$2:$A$10000,"&lt;"&amp;EDATE(A66,1))</f>
        <v>0</v>
      </c>
      <c r="E66" s="12">
        <f>SUMIFS(Events!$E$2:$E$10000,Events!$A$2:$A$10000,"&gt;="&amp;A66,Events!$A$2:$A$10000,"&lt;"&amp;EDATE(A66,1))</f>
        <v>0</v>
      </c>
      <c r="F66" s="12">
        <f>SUMIFS(Events!$F$2:$F$10000,Events!$A$2:$A$10000,"&gt;="&amp;A66,Events!$A$2:$A$10000,"&lt;"&amp;EDATE(A66,1))</f>
        <v>0</v>
      </c>
      <c r="G66" s="4"/>
    </row>
    <row r="67" spans="1:7" x14ac:dyDescent="0.2">
      <c r="A67" s="11">
        <v>42156</v>
      </c>
      <c r="B67" s="12">
        <f>COUNTIFS(Events!$A$2:$A$10000,"&gt;="&amp;A67,Events!$A$2:$A$10000,"&lt;"&amp;EDATE(A67,1))</f>
        <v>0</v>
      </c>
      <c r="C67" s="12">
        <f>SUMIFS(Events!$C$2:$C$10000,Events!$A$2:$A$10000,"&gt;="&amp;A67,Events!$A$2:$A$10000,"&lt;"&amp;EDATE(A67,1))</f>
        <v>0</v>
      </c>
      <c r="D67" s="12">
        <f>SUMIFS(Events!$D$2:$D$10000,Events!$A$2:$A$10000,"&gt;="&amp;A67,Events!$A$2:$A$10000,"&lt;"&amp;EDATE(A67,1))</f>
        <v>0</v>
      </c>
      <c r="E67" s="12">
        <f>SUMIFS(Events!$E$2:$E$10000,Events!$A$2:$A$10000,"&gt;="&amp;A67,Events!$A$2:$A$10000,"&lt;"&amp;EDATE(A67,1))</f>
        <v>0</v>
      </c>
      <c r="F67" s="12">
        <f>SUMIFS(Events!$F$2:$F$10000,Events!$A$2:$A$10000,"&gt;="&amp;A67,Events!$A$2:$A$10000,"&lt;"&amp;EDATE(A67,1))</f>
        <v>0</v>
      </c>
      <c r="G67" s="4"/>
    </row>
    <row r="68" spans="1:7" x14ac:dyDescent="0.2">
      <c r="A68" s="11">
        <v>42186</v>
      </c>
      <c r="B68" s="12">
        <f>COUNTIFS(Events!$A$2:$A$10000,"&gt;="&amp;A68,Events!$A$2:$A$10000,"&lt;"&amp;EDATE(A68,1))</f>
        <v>1</v>
      </c>
      <c r="C68" s="12">
        <f>SUMIFS(Events!$C$2:$C$10000,Events!$A$2:$A$10000,"&gt;="&amp;A68,Events!$A$2:$A$10000,"&lt;"&amp;EDATE(A68,1))</f>
        <v>1</v>
      </c>
      <c r="D68" s="12">
        <f>SUMIFS(Events!$D$2:$D$10000,Events!$A$2:$A$10000,"&gt;="&amp;A68,Events!$A$2:$A$10000,"&lt;"&amp;EDATE(A68,1))</f>
        <v>0</v>
      </c>
      <c r="E68" s="12">
        <f>SUMIFS(Events!$E$2:$E$10000,Events!$A$2:$A$10000,"&gt;="&amp;A68,Events!$A$2:$A$10000,"&lt;"&amp;EDATE(A68,1))</f>
        <v>0</v>
      </c>
      <c r="F68" s="12">
        <f>SUMIFS(Events!$F$2:$F$10000,Events!$A$2:$A$10000,"&gt;="&amp;A68,Events!$A$2:$A$10000,"&lt;"&amp;EDATE(A68,1))</f>
        <v>0</v>
      </c>
      <c r="G68" s="4"/>
    </row>
    <row r="69" spans="1:7" x14ac:dyDescent="0.2">
      <c r="A69" s="11">
        <v>42217</v>
      </c>
      <c r="B69" s="12">
        <f>COUNTIFS(Events!$A$2:$A$10000,"&gt;="&amp;A69,Events!$A$2:$A$10000,"&lt;"&amp;EDATE(A69,1))</f>
        <v>0</v>
      </c>
      <c r="C69" s="12">
        <f>SUMIFS(Events!$C$2:$C$10000,Events!$A$2:$A$10000,"&gt;="&amp;A69,Events!$A$2:$A$10000,"&lt;"&amp;EDATE(A69,1))</f>
        <v>0</v>
      </c>
      <c r="D69" s="12">
        <f>SUMIFS(Events!$D$2:$D$10000,Events!$A$2:$A$10000,"&gt;="&amp;A69,Events!$A$2:$A$10000,"&lt;"&amp;EDATE(A69,1))</f>
        <v>0</v>
      </c>
      <c r="E69" s="12">
        <f>SUMIFS(Events!$E$2:$E$10000,Events!$A$2:$A$10000,"&gt;="&amp;A69,Events!$A$2:$A$10000,"&lt;"&amp;EDATE(A69,1))</f>
        <v>0</v>
      </c>
      <c r="F69" s="12">
        <f>SUMIFS(Events!$F$2:$F$10000,Events!$A$2:$A$10000,"&gt;="&amp;A69,Events!$A$2:$A$10000,"&lt;"&amp;EDATE(A69,1))</f>
        <v>0</v>
      </c>
      <c r="G69" s="4"/>
    </row>
    <row r="70" spans="1:7" x14ac:dyDescent="0.2">
      <c r="A70" s="11">
        <v>42248</v>
      </c>
      <c r="B70" s="12">
        <f>COUNTIFS(Events!$A$2:$A$10000,"&gt;="&amp;A70,Events!$A$2:$A$10000,"&lt;"&amp;EDATE(A70,1))</f>
        <v>0</v>
      </c>
      <c r="C70" s="12">
        <f>SUMIFS(Events!$C$2:$C$10000,Events!$A$2:$A$10000,"&gt;="&amp;A70,Events!$A$2:$A$10000,"&lt;"&amp;EDATE(A70,1))</f>
        <v>0</v>
      </c>
      <c r="D70" s="12">
        <f>SUMIFS(Events!$D$2:$D$10000,Events!$A$2:$A$10000,"&gt;="&amp;A70,Events!$A$2:$A$10000,"&lt;"&amp;EDATE(A70,1))</f>
        <v>0</v>
      </c>
      <c r="E70" s="12">
        <f>SUMIFS(Events!$E$2:$E$10000,Events!$A$2:$A$10000,"&gt;="&amp;A70,Events!$A$2:$A$10000,"&lt;"&amp;EDATE(A70,1))</f>
        <v>0</v>
      </c>
      <c r="F70" s="12">
        <f>SUMIFS(Events!$F$2:$F$10000,Events!$A$2:$A$10000,"&gt;="&amp;A70,Events!$A$2:$A$10000,"&lt;"&amp;EDATE(A70,1))</f>
        <v>0</v>
      </c>
      <c r="G70" s="4"/>
    </row>
    <row r="71" spans="1:7" ht="30" customHeight="1" x14ac:dyDescent="0.2">
      <c r="A71" s="11">
        <v>42278</v>
      </c>
      <c r="B71" s="12">
        <f>COUNTIFS(Events!$A$2:$A$10000,"&gt;="&amp;A71,Events!$A$2:$A$10000,"&lt;"&amp;EDATE(A71,1))</f>
        <v>0</v>
      </c>
      <c r="C71" s="12">
        <f>SUMIFS(Events!$C$2:$C$10000,Events!$A$2:$A$10000,"&gt;="&amp;A71,Events!$A$2:$A$10000,"&lt;"&amp;EDATE(A71,1))</f>
        <v>0</v>
      </c>
      <c r="D71" s="12">
        <f>SUMIFS(Events!$D$2:$D$10000,Events!$A$2:$A$10000,"&gt;="&amp;A71,Events!$A$2:$A$10000,"&lt;"&amp;EDATE(A71,1))</f>
        <v>0</v>
      </c>
      <c r="E71" s="12">
        <f>SUMIFS(Events!$E$2:$E$10000,Events!$A$2:$A$10000,"&gt;="&amp;A71,Events!$A$2:$A$10000,"&lt;"&amp;EDATE(A71,1))</f>
        <v>0</v>
      </c>
      <c r="F71" s="12">
        <f>SUMIFS(Events!$F$2:$F$10000,Events!$A$2:$A$10000,"&gt;="&amp;A71,Events!$A$2:$A$10000,"&lt;"&amp;EDATE(A71,1))</f>
        <v>0</v>
      </c>
      <c r="G71" s="13" t="s">
        <v>534</v>
      </c>
    </row>
    <row r="72" spans="1:7" x14ac:dyDescent="0.2">
      <c r="A72" s="11">
        <v>42309</v>
      </c>
      <c r="B72" s="12">
        <f>COUNTIFS(Events!$A$2:$A$10000,"&gt;="&amp;A72,Events!$A$2:$A$10000,"&lt;"&amp;EDATE(A72,1))</f>
        <v>1</v>
      </c>
      <c r="C72" s="12">
        <f>SUMIFS(Events!$C$2:$C$10000,Events!$A$2:$A$10000,"&gt;="&amp;A72,Events!$A$2:$A$10000,"&lt;"&amp;EDATE(A72,1))</f>
        <v>1</v>
      </c>
      <c r="D72" s="12">
        <f>SUMIFS(Events!$D$2:$D$10000,Events!$A$2:$A$10000,"&gt;="&amp;A72,Events!$A$2:$A$10000,"&lt;"&amp;EDATE(A72,1))</f>
        <v>0</v>
      </c>
      <c r="E72" s="12">
        <f>SUMIFS(Events!$E$2:$E$10000,Events!$A$2:$A$10000,"&gt;="&amp;A72,Events!$A$2:$A$10000,"&lt;"&amp;EDATE(A72,1))</f>
        <v>0</v>
      </c>
      <c r="F72" s="12">
        <f>SUMIFS(Events!$F$2:$F$10000,Events!$A$2:$A$10000,"&gt;="&amp;A72,Events!$A$2:$A$10000,"&lt;"&amp;EDATE(A72,1))</f>
        <v>0</v>
      </c>
      <c r="G72" s="4"/>
    </row>
    <row r="73" spans="1:7" x14ac:dyDescent="0.2">
      <c r="A73" s="11">
        <v>42339</v>
      </c>
      <c r="B73" s="12">
        <f>COUNTIFS(Events!$A$2:$A$10000,"&gt;="&amp;A73,Events!$A$2:$A$10000,"&lt;"&amp;EDATE(A73,1))</f>
        <v>0</v>
      </c>
      <c r="C73" s="12">
        <f>SUMIFS(Events!$C$2:$C$10000,Events!$A$2:$A$10000,"&gt;="&amp;A73,Events!$A$2:$A$10000,"&lt;"&amp;EDATE(A73,1))</f>
        <v>0</v>
      </c>
      <c r="D73" s="12">
        <f>SUMIFS(Events!$D$2:$D$10000,Events!$A$2:$A$10000,"&gt;="&amp;A73,Events!$A$2:$A$10000,"&lt;"&amp;EDATE(A73,1))</f>
        <v>0</v>
      </c>
      <c r="E73" s="12">
        <f>SUMIFS(Events!$E$2:$E$10000,Events!$A$2:$A$10000,"&gt;="&amp;A73,Events!$A$2:$A$10000,"&lt;"&amp;EDATE(A73,1))</f>
        <v>0</v>
      </c>
      <c r="F73" s="12">
        <f>SUMIFS(Events!$F$2:$F$10000,Events!$A$2:$A$10000,"&gt;="&amp;A73,Events!$A$2:$A$10000,"&lt;"&amp;EDATE(A73,1))</f>
        <v>0</v>
      </c>
      <c r="G73" s="4"/>
    </row>
    <row r="74" spans="1:7" x14ac:dyDescent="0.2">
      <c r="A74" s="11">
        <v>42370</v>
      </c>
      <c r="B74" s="12">
        <f>COUNTIFS(Events!$A$2:$A$10000,"&gt;="&amp;A74,Events!$A$2:$A$10000,"&lt;"&amp;EDATE(A74,1))</f>
        <v>0</v>
      </c>
      <c r="C74" s="12">
        <f>SUMIFS(Events!$C$2:$C$10000,Events!$A$2:$A$10000,"&gt;="&amp;A74,Events!$A$2:$A$10000,"&lt;"&amp;EDATE(A74,1))</f>
        <v>0</v>
      </c>
      <c r="D74" s="12">
        <f>SUMIFS(Events!$D$2:$D$10000,Events!$A$2:$A$10000,"&gt;="&amp;A74,Events!$A$2:$A$10000,"&lt;"&amp;EDATE(A74,1))</f>
        <v>0</v>
      </c>
      <c r="E74" s="12">
        <f>SUMIFS(Events!$E$2:$E$10000,Events!$A$2:$A$10000,"&gt;="&amp;A74,Events!$A$2:$A$10000,"&lt;"&amp;EDATE(A74,1))</f>
        <v>0</v>
      </c>
      <c r="F74" s="12">
        <f>SUMIFS(Events!$F$2:$F$10000,Events!$A$2:$A$10000,"&gt;="&amp;A74,Events!$A$2:$A$10000,"&lt;"&amp;EDATE(A74,1))</f>
        <v>0</v>
      </c>
      <c r="G74" s="4"/>
    </row>
    <row r="75" spans="1:7" ht="30" customHeight="1" x14ac:dyDescent="0.2">
      <c r="A75" s="11">
        <v>42401</v>
      </c>
      <c r="B75" s="12">
        <f>COUNTIFS(Events!$A$2:$A$10000,"&gt;="&amp;A75,Events!$A$2:$A$10000,"&lt;"&amp;EDATE(A75,1))</f>
        <v>2</v>
      </c>
      <c r="C75" s="12">
        <f>SUMIFS(Events!$C$2:$C$10000,Events!$A$2:$A$10000,"&gt;="&amp;A75,Events!$A$2:$A$10000,"&lt;"&amp;EDATE(A75,1))</f>
        <v>1</v>
      </c>
      <c r="D75" s="12">
        <f>SUMIFS(Events!$D$2:$D$10000,Events!$A$2:$A$10000,"&gt;="&amp;A75,Events!$A$2:$A$10000,"&lt;"&amp;EDATE(A75,1))</f>
        <v>0</v>
      </c>
      <c r="E75" s="12">
        <f>SUMIFS(Events!$E$2:$E$10000,Events!$A$2:$A$10000,"&gt;="&amp;A75,Events!$A$2:$A$10000,"&lt;"&amp;EDATE(A75,1))</f>
        <v>0</v>
      </c>
      <c r="F75" s="12">
        <f>SUMIFS(Events!$F$2:$F$10000,Events!$A$2:$A$10000,"&gt;="&amp;A75,Events!$A$2:$A$10000,"&lt;"&amp;EDATE(A75,1))</f>
        <v>1</v>
      </c>
      <c r="G75" s="13" t="s">
        <v>535</v>
      </c>
    </row>
    <row r="76" spans="1:7" x14ac:dyDescent="0.2">
      <c r="A76" s="11">
        <v>42430</v>
      </c>
      <c r="B76" s="12">
        <f>COUNTIFS(Events!$A$2:$A$10000,"&gt;="&amp;A76,Events!$A$2:$A$10000,"&lt;"&amp;EDATE(A76,1))</f>
        <v>0</v>
      </c>
      <c r="C76" s="12">
        <f>SUMIFS(Events!$C$2:$C$10000,Events!$A$2:$A$10000,"&gt;="&amp;A76,Events!$A$2:$A$10000,"&lt;"&amp;EDATE(A76,1))</f>
        <v>0</v>
      </c>
      <c r="D76" s="12">
        <f>SUMIFS(Events!$D$2:$D$10000,Events!$A$2:$A$10000,"&gt;="&amp;A76,Events!$A$2:$A$10000,"&lt;"&amp;EDATE(A76,1))</f>
        <v>0</v>
      </c>
      <c r="E76" s="12">
        <f>SUMIFS(Events!$E$2:$E$10000,Events!$A$2:$A$10000,"&gt;="&amp;A76,Events!$A$2:$A$10000,"&lt;"&amp;EDATE(A76,1))</f>
        <v>0</v>
      </c>
      <c r="F76" s="12">
        <f>SUMIFS(Events!$F$2:$F$10000,Events!$A$2:$A$10000,"&gt;="&amp;A76,Events!$A$2:$A$10000,"&lt;"&amp;EDATE(A76,1))</f>
        <v>0</v>
      </c>
      <c r="G76" s="4"/>
    </row>
    <row r="77" spans="1:7" x14ac:dyDescent="0.2">
      <c r="A77" s="11">
        <v>42461</v>
      </c>
      <c r="B77" s="12">
        <f>COUNTIFS(Events!$A$2:$A$10000,"&gt;="&amp;A77,Events!$A$2:$A$10000,"&lt;"&amp;EDATE(A77,1))</f>
        <v>2</v>
      </c>
      <c r="C77" s="12">
        <f>SUMIFS(Events!$C$2:$C$10000,Events!$A$2:$A$10000,"&gt;="&amp;A77,Events!$A$2:$A$10000,"&lt;"&amp;EDATE(A77,1))</f>
        <v>1</v>
      </c>
      <c r="D77" s="12">
        <f>SUMIFS(Events!$D$2:$D$10000,Events!$A$2:$A$10000,"&gt;="&amp;A77,Events!$A$2:$A$10000,"&lt;"&amp;EDATE(A77,1))</f>
        <v>0</v>
      </c>
      <c r="E77" s="12">
        <f>SUMIFS(Events!$E$2:$E$10000,Events!$A$2:$A$10000,"&gt;="&amp;A77,Events!$A$2:$A$10000,"&lt;"&amp;EDATE(A77,1))</f>
        <v>0</v>
      </c>
      <c r="F77" s="12">
        <f>SUMIFS(Events!$F$2:$F$10000,Events!$A$2:$A$10000,"&gt;="&amp;A77,Events!$A$2:$A$10000,"&lt;"&amp;EDATE(A77,1))</f>
        <v>1</v>
      </c>
      <c r="G77" s="4"/>
    </row>
    <row r="78" spans="1:7" x14ac:dyDescent="0.2">
      <c r="A78" s="11">
        <v>42491</v>
      </c>
      <c r="B78" s="12">
        <f>COUNTIFS(Events!$A$2:$A$10000,"&gt;="&amp;A78,Events!$A$2:$A$10000,"&lt;"&amp;EDATE(A78,1))</f>
        <v>1</v>
      </c>
      <c r="C78" s="12">
        <f>SUMIFS(Events!$C$2:$C$10000,Events!$A$2:$A$10000,"&gt;="&amp;A78,Events!$A$2:$A$10000,"&lt;"&amp;EDATE(A78,1))</f>
        <v>1</v>
      </c>
      <c r="D78" s="12">
        <f>SUMIFS(Events!$D$2:$D$10000,Events!$A$2:$A$10000,"&gt;="&amp;A78,Events!$A$2:$A$10000,"&lt;"&amp;EDATE(A78,1))</f>
        <v>0</v>
      </c>
      <c r="E78" s="12">
        <f>SUMIFS(Events!$E$2:$E$10000,Events!$A$2:$A$10000,"&gt;="&amp;A78,Events!$A$2:$A$10000,"&lt;"&amp;EDATE(A78,1))</f>
        <v>0</v>
      </c>
      <c r="F78" s="12">
        <f>SUMIFS(Events!$F$2:$F$10000,Events!$A$2:$A$10000,"&gt;="&amp;A78,Events!$A$2:$A$10000,"&lt;"&amp;EDATE(A78,1))</f>
        <v>0</v>
      </c>
      <c r="G78" s="4"/>
    </row>
    <row r="79" spans="1:7" x14ac:dyDescent="0.2">
      <c r="A79" s="11">
        <v>42522</v>
      </c>
      <c r="B79" s="12">
        <f>COUNTIFS(Events!$A$2:$A$10000,"&gt;="&amp;A79,Events!$A$2:$A$10000,"&lt;"&amp;EDATE(A79,1))</f>
        <v>0</v>
      </c>
      <c r="C79" s="12">
        <f>SUMIFS(Events!$C$2:$C$10000,Events!$A$2:$A$10000,"&gt;="&amp;A79,Events!$A$2:$A$10000,"&lt;"&amp;EDATE(A79,1))</f>
        <v>0</v>
      </c>
      <c r="D79" s="12">
        <f>SUMIFS(Events!$D$2:$D$10000,Events!$A$2:$A$10000,"&gt;="&amp;A79,Events!$A$2:$A$10000,"&lt;"&amp;EDATE(A79,1))</f>
        <v>0</v>
      </c>
      <c r="E79" s="12">
        <f>SUMIFS(Events!$E$2:$E$10000,Events!$A$2:$A$10000,"&gt;="&amp;A79,Events!$A$2:$A$10000,"&lt;"&amp;EDATE(A79,1))</f>
        <v>0</v>
      </c>
      <c r="F79" s="12">
        <f>SUMIFS(Events!$F$2:$F$10000,Events!$A$2:$A$10000,"&gt;="&amp;A79,Events!$A$2:$A$10000,"&lt;"&amp;EDATE(A79,1))</f>
        <v>0</v>
      </c>
      <c r="G79" s="4"/>
    </row>
    <row r="80" spans="1:7" x14ac:dyDescent="0.2">
      <c r="A80" s="11">
        <v>42552</v>
      </c>
      <c r="B80" s="12">
        <f>COUNTIFS(Events!$A$2:$A$10000,"&gt;="&amp;A80,Events!$A$2:$A$10000,"&lt;"&amp;EDATE(A80,1))</f>
        <v>1</v>
      </c>
      <c r="C80" s="12">
        <f>SUMIFS(Events!$C$2:$C$10000,Events!$A$2:$A$10000,"&gt;="&amp;A80,Events!$A$2:$A$10000,"&lt;"&amp;EDATE(A80,1))</f>
        <v>1</v>
      </c>
      <c r="D80" s="12">
        <f>SUMIFS(Events!$D$2:$D$10000,Events!$A$2:$A$10000,"&gt;="&amp;A80,Events!$A$2:$A$10000,"&lt;"&amp;EDATE(A80,1))</f>
        <v>0</v>
      </c>
      <c r="E80" s="12">
        <f>SUMIFS(Events!$E$2:$E$10000,Events!$A$2:$A$10000,"&gt;="&amp;A80,Events!$A$2:$A$10000,"&lt;"&amp;EDATE(A80,1))</f>
        <v>0</v>
      </c>
      <c r="F80" s="12">
        <f>SUMIFS(Events!$F$2:$F$10000,Events!$A$2:$A$10000,"&gt;="&amp;A80,Events!$A$2:$A$10000,"&lt;"&amp;EDATE(A80,1))</f>
        <v>0</v>
      </c>
      <c r="G80" s="4"/>
    </row>
    <row r="81" spans="1:7" x14ac:dyDescent="0.2">
      <c r="A81" s="11">
        <v>42583</v>
      </c>
      <c r="B81" s="12">
        <f>COUNTIFS(Events!$A$2:$A$10000,"&gt;="&amp;A81,Events!$A$2:$A$10000,"&lt;"&amp;EDATE(A81,1))</f>
        <v>0</v>
      </c>
      <c r="C81" s="12">
        <f>SUMIFS(Events!$C$2:$C$10000,Events!$A$2:$A$10000,"&gt;="&amp;A81,Events!$A$2:$A$10000,"&lt;"&amp;EDATE(A81,1))</f>
        <v>0</v>
      </c>
      <c r="D81" s="12">
        <f>SUMIFS(Events!$D$2:$D$10000,Events!$A$2:$A$10000,"&gt;="&amp;A81,Events!$A$2:$A$10000,"&lt;"&amp;EDATE(A81,1))</f>
        <v>0</v>
      </c>
      <c r="E81" s="12">
        <f>SUMIFS(Events!$E$2:$E$10000,Events!$A$2:$A$10000,"&gt;="&amp;A81,Events!$A$2:$A$10000,"&lt;"&amp;EDATE(A81,1))</f>
        <v>0</v>
      </c>
      <c r="F81" s="12">
        <f>SUMIFS(Events!$F$2:$F$10000,Events!$A$2:$A$10000,"&gt;="&amp;A81,Events!$A$2:$A$10000,"&lt;"&amp;EDATE(A81,1))</f>
        <v>0</v>
      </c>
      <c r="G81" s="4"/>
    </row>
    <row r="82" spans="1:7" x14ac:dyDescent="0.2">
      <c r="A82" s="11">
        <v>42614</v>
      </c>
      <c r="B82" s="12">
        <f>COUNTIFS(Events!$A$2:$A$10000,"&gt;="&amp;A82,Events!$A$2:$A$10000,"&lt;"&amp;EDATE(A82,1))</f>
        <v>1</v>
      </c>
      <c r="C82" s="12">
        <f>SUMIFS(Events!$C$2:$C$10000,Events!$A$2:$A$10000,"&gt;="&amp;A82,Events!$A$2:$A$10000,"&lt;"&amp;EDATE(A82,1))</f>
        <v>1</v>
      </c>
      <c r="D82" s="12">
        <f>SUMIFS(Events!$D$2:$D$10000,Events!$A$2:$A$10000,"&gt;="&amp;A82,Events!$A$2:$A$10000,"&lt;"&amp;EDATE(A82,1))</f>
        <v>0</v>
      </c>
      <c r="E82" s="12">
        <f>SUMIFS(Events!$E$2:$E$10000,Events!$A$2:$A$10000,"&gt;="&amp;A82,Events!$A$2:$A$10000,"&lt;"&amp;EDATE(A82,1))</f>
        <v>0</v>
      </c>
      <c r="F82" s="12">
        <f>SUMIFS(Events!$F$2:$F$10000,Events!$A$2:$A$10000,"&gt;="&amp;A82,Events!$A$2:$A$10000,"&lt;"&amp;EDATE(A82,1))</f>
        <v>0</v>
      </c>
      <c r="G82" s="4"/>
    </row>
    <row r="83" spans="1:7" x14ac:dyDescent="0.2">
      <c r="A83" s="11">
        <v>42644</v>
      </c>
      <c r="B83" s="12">
        <f>COUNTIFS(Events!$A$2:$A$10000,"&gt;="&amp;A83,Events!$A$2:$A$10000,"&lt;"&amp;EDATE(A83,1))</f>
        <v>0</v>
      </c>
      <c r="C83" s="12">
        <f>SUMIFS(Events!$C$2:$C$10000,Events!$A$2:$A$10000,"&gt;="&amp;A83,Events!$A$2:$A$10000,"&lt;"&amp;EDATE(A83,1))</f>
        <v>0</v>
      </c>
      <c r="D83" s="12">
        <f>SUMIFS(Events!$D$2:$D$10000,Events!$A$2:$A$10000,"&gt;="&amp;A83,Events!$A$2:$A$10000,"&lt;"&amp;EDATE(A83,1))</f>
        <v>0</v>
      </c>
      <c r="E83" s="12">
        <f>SUMIFS(Events!$E$2:$E$10000,Events!$A$2:$A$10000,"&gt;="&amp;A83,Events!$A$2:$A$10000,"&lt;"&amp;EDATE(A83,1))</f>
        <v>0</v>
      </c>
      <c r="F83" s="12">
        <f>SUMIFS(Events!$F$2:$F$10000,Events!$A$2:$A$10000,"&gt;="&amp;A83,Events!$A$2:$A$10000,"&lt;"&amp;EDATE(A83,1))</f>
        <v>0</v>
      </c>
      <c r="G83" s="4"/>
    </row>
    <row r="84" spans="1:7" x14ac:dyDescent="0.2">
      <c r="A84" s="11">
        <v>42675</v>
      </c>
      <c r="B84" s="12">
        <f>COUNTIFS(Events!$A$2:$A$10000,"&gt;="&amp;A84,Events!$A$2:$A$10000,"&lt;"&amp;EDATE(A84,1))</f>
        <v>0</v>
      </c>
      <c r="C84" s="12">
        <f>SUMIFS(Events!$C$2:$C$10000,Events!$A$2:$A$10000,"&gt;="&amp;A84,Events!$A$2:$A$10000,"&lt;"&amp;EDATE(A84,1))</f>
        <v>0</v>
      </c>
      <c r="D84" s="12">
        <f>SUMIFS(Events!$D$2:$D$10000,Events!$A$2:$A$10000,"&gt;="&amp;A84,Events!$A$2:$A$10000,"&lt;"&amp;EDATE(A84,1))</f>
        <v>0</v>
      </c>
      <c r="E84" s="12">
        <f>SUMIFS(Events!$E$2:$E$10000,Events!$A$2:$A$10000,"&gt;="&amp;A84,Events!$A$2:$A$10000,"&lt;"&amp;EDATE(A84,1))</f>
        <v>0</v>
      </c>
      <c r="F84" s="12">
        <f>SUMIFS(Events!$F$2:$F$10000,Events!$A$2:$A$10000,"&gt;="&amp;A84,Events!$A$2:$A$10000,"&lt;"&amp;EDATE(A84,1))</f>
        <v>0</v>
      </c>
      <c r="G84" s="4"/>
    </row>
    <row r="85" spans="1:7" x14ac:dyDescent="0.2">
      <c r="A85" s="11">
        <v>42705</v>
      </c>
      <c r="B85" s="12">
        <f>COUNTIFS(Events!$A$2:$A$10000,"&gt;="&amp;A85,Events!$A$2:$A$10000,"&lt;"&amp;EDATE(A85,1))</f>
        <v>0</v>
      </c>
      <c r="C85" s="12">
        <f>SUMIFS(Events!$C$2:$C$10000,Events!$A$2:$A$10000,"&gt;="&amp;A85,Events!$A$2:$A$10000,"&lt;"&amp;EDATE(A85,1))</f>
        <v>0</v>
      </c>
      <c r="D85" s="12">
        <f>SUMIFS(Events!$D$2:$D$10000,Events!$A$2:$A$10000,"&gt;="&amp;A85,Events!$A$2:$A$10000,"&lt;"&amp;EDATE(A85,1))</f>
        <v>0</v>
      </c>
      <c r="E85" s="12">
        <f>SUMIFS(Events!$E$2:$E$10000,Events!$A$2:$A$10000,"&gt;="&amp;A85,Events!$A$2:$A$10000,"&lt;"&amp;EDATE(A85,1))</f>
        <v>0</v>
      </c>
      <c r="F85" s="12">
        <f>SUMIFS(Events!$F$2:$F$10000,Events!$A$2:$A$10000,"&gt;="&amp;A85,Events!$A$2:$A$10000,"&lt;"&amp;EDATE(A85,1))</f>
        <v>0</v>
      </c>
      <c r="G85" s="4"/>
    </row>
    <row r="86" spans="1:7" ht="30" customHeight="1" x14ac:dyDescent="0.2">
      <c r="A86" s="11">
        <v>42736</v>
      </c>
      <c r="B86" s="12">
        <f>COUNTIFS(Events!$A$2:$A$10000,"&gt;="&amp;A86,Events!$A$2:$A$10000,"&lt;"&amp;EDATE(A86,1))</f>
        <v>1</v>
      </c>
      <c r="C86" s="12">
        <f>SUMIFS(Events!$C$2:$C$10000,Events!$A$2:$A$10000,"&gt;="&amp;A86,Events!$A$2:$A$10000,"&lt;"&amp;EDATE(A86,1))</f>
        <v>0</v>
      </c>
      <c r="D86" s="12">
        <f>SUMIFS(Events!$D$2:$D$10000,Events!$A$2:$A$10000,"&gt;="&amp;A86,Events!$A$2:$A$10000,"&lt;"&amp;EDATE(A86,1))</f>
        <v>0</v>
      </c>
      <c r="E86" s="12">
        <f>SUMIFS(Events!$E$2:$E$10000,Events!$A$2:$A$10000,"&gt;="&amp;A86,Events!$A$2:$A$10000,"&lt;"&amp;EDATE(A86,1))</f>
        <v>0</v>
      </c>
      <c r="F86" s="12">
        <f>SUMIFS(Events!$F$2:$F$10000,Events!$A$2:$A$10000,"&gt;="&amp;A86,Events!$A$2:$A$10000,"&lt;"&amp;EDATE(A86,1))</f>
        <v>1</v>
      </c>
      <c r="G86" s="13" t="s">
        <v>536</v>
      </c>
    </row>
    <row r="87" spans="1:7" x14ac:dyDescent="0.2">
      <c r="A87" s="11">
        <v>42767</v>
      </c>
      <c r="B87" s="12">
        <f>COUNTIFS(Events!$A$2:$A$10000,"&gt;="&amp;A87,Events!$A$2:$A$10000,"&lt;"&amp;EDATE(A87,1))</f>
        <v>0</v>
      </c>
      <c r="C87" s="12">
        <f>SUMIFS(Events!$C$2:$C$10000,Events!$A$2:$A$10000,"&gt;="&amp;A87,Events!$A$2:$A$10000,"&lt;"&amp;EDATE(A87,1))</f>
        <v>0</v>
      </c>
      <c r="D87" s="12">
        <f>SUMIFS(Events!$D$2:$D$10000,Events!$A$2:$A$10000,"&gt;="&amp;A87,Events!$A$2:$A$10000,"&lt;"&amp;EDATE(A87,1))</f>
        <v>0</v>
      </c>
      <c r="E87" s="12">
        <f>SUMIFS(Events!$E$2:$E$10000,Events!$A$2:$A$10000,"&gt;="&amp;A87,Events!$A$2:$A$10000,"&lt;"&amp;EDATE(A87,1))</f>
        <v>0</v>
      </c>
      <c r="F87" s="12">
        <f>SUMIFS(Events!$F$2:$F$10000,Events!$A$2:$A$10000,"&gt;="&amp;A87,Events!$A$2:$A$10000,"&lt;"&amp;EDATE(A87,1))</f>
        <v>0</v>
      </c>
      <c r="G87" s="4"/>
    </row>
    <row r="88" spans="1:7" x14ac:dyDescent="0.2">
      <c r="A88" s="11">
        <v>42795</v>
      </c>
      <c r="B88" s="12">
        <f>COUNTIFS(Events!$A$2:$A$10000,"&gt;="&amp;A88,Events!$A$2:$A$10000,"&lt;"&amp;EDATE(A88,1))</f>
        <v>0</v>
      </c>
      <c r="C88" s="12">
        <f>SUMIFS(Events!$C$2:$C$10000,Events!$A$2:$A$10000,"&gt;="&amp;A88,Events!$A$2:$A$10000,"&lt;"&amp;EDATE(A88,1))</f>
        <v>0</v>
      </c>
      <c r="D88" s="12">
        <f>SUMIFS(Events!$D$2:$D$10000,Events!$A$2:$A$10000,"&gt;="&amp;A88,Events!$A$2:$A$10000,"&lt;"&amp;EDATE(A88,1))</f>
        <v>0</v>
      </c>
      <c r="E88" s="12">
        <f>SUMIFS(Events!$E$2:$E$10000,Events!$A$2:$A$10000,"&gt;="&amp;A88,Events!$A$2:$A$10000,"&lt;"&amp;EDATE(A88,1))</f>
        <v>0</v>
      </c>
      <c r="F88" s="12">
        <f>SUMIFS(Events!$F$2:$F$10000,Events!$A$2:$A$10000,"&gt;="&amp;A88,Events!$A$2:$A$10000,"&lt;"&amp;EDATE(A88,1))</f>
        <v>0</v>
      </c>
      <c r="G88" s="4"/>
    </row>
    <row r="89" spans="1:7" x14ac:dyDescent="0.2">
      <c r="A89" s="11">
        <v>42826</v>
      </c>
      <c r="B89" s="12">
        <f>COUNTIFS(Events!$A$2:$A$10000,"&gt;="&amp;A89,Events!$A$2:$A$10000,"&lt;"&amp;EDATE(A89,1))</f>
        <v>0</v>
      </c>
      <c r="C89" s="12">
        <f>SUMIFS(Events!$C$2:$C$10000,Events!$A$2:$A$10000,"&gt;="&amp;A89,Events!$A$2:$A$10000,"&lt;"&amp;EDATE(A89,1))</f>
        <v>0</v>
      </c>
      <c r="D89" s="12">
        <f>SUMIFS(Events!$D$2:$D$10000,Events!$A$2:$A$10000,"&gt;="&amp;A89,Events!$A$2:$A$10000,"&lt;"&amp;EDATE(A89,1))</f>
        <v>0</v>
      </c>
      <c r="E89" s="12">
        <f>SUMIFS(Events!$E$2:$E$10000,Events!$A$2:$A$10000,"&gt;="&amp;A89,Events!$A$2:$A$10000,"&lt;"&amp;EDATE(A89,1))</f>
        <v>0</v>
      </c>
      <c r="F89" s="12">
        <f>SUMIFS(Events!$F$2:$F$10000,Events!$A$2:$A$10000,"&gt;="&amp;A89,Events!$A$2:$A$10000,"&lt;"&amp;EDATE(A89,1))</f>
        <v>0</v>
      </c>
      <c r="G89" s="4"/>
    </row>
    <row r="90" spans="1:7" x14ac:dyDescent="0.2">
      <c r="A90" s="11">
        <v>42856</v>
      </c>
      <c r="B90" s="12">
        <f>COUNTIFS(Events!$A$2:$A$10000,"&gt;="&amp;A90,Events!$A$2:$A$10000,"&lt;"&amp;EDATE(A90,1))</f>
        <v>0</v>
      </c>
      <c r="C90" s="12">
        <f>SUMIFS(Events!$C$2:$C$10000,Events!$A$2:$A$10000,"&gt;="&amp;A90,Events!$A$2:$A$10000,"&lt;"&amp;EDATE(A90,1))</f>
        <v>0</v>
      </c>
      <c r="D90" s="12">
        <f>SUMIFS(Events!$D$2:$D$10000,Events!$A$2:$A$10000,"&gt;="&amp;A90,Events!$A$2:$A$10000,"&lt;"&amp;EDATE(A90,1))</f>
        <v>0</v>
      </c>
      <c r="E90" s="12">
        <f>SUMIFS(Events!$E$2:$E$10000,Events!$A$2:$A$10000,"&gt;="&amp;A90,Events!$A$2:$A$10000,"&lt;"&amp;EDATE(A90,1))</f>
        <v>0</v>
      </c>
      <c r="F90" s="12">
        <f>SUMIFS(Events!$F$2:$F$10000,Events!$A$2:$A$10000,"&gt;="&amp;A90,Events!$A$2:$A$10000,"&lt;"&amp;EDATE(A90,1))</f>
        <v>0</v>
      </c>
      <c r="G90" s="4"/>
    </row>
    <row r="91" spans="1:7" x14ac:dyDescent="0.2">
      <c r="A91" s="11">
        <v>42887</v>
      </c>
      <c r="B91" s="12">
        <f>COUNTIFS(Events!$A$2:$A$10000,"&gt;="&amp;A91,Events!$A$2:$A$10000,"&lt;"&amp;EDATE(A91,1))</f>
        <v>0</v>
      </c>
      <c r="C91" s="12">
        <f>SUMIFS(Events!$C$2:$C$10000,Events!$A$2:$A$10000,"&gt;="&amp;A91,Events!$A$2:$A$10000,"&lt;"&amp;EDATE(A91,1))</f>
        <v>0</v>
      </c>
      <c r="D91" s="12">
        <f>SUMIFS(Events!$D$2:$D$10000,Events!$A$2:$A$10000,"&gt;="&amp;A91,Events!$A$2:$A$10000,"&lt;"&amp;EDATE(A91,1))</f>
        <v>0</v>
      </c>
      <c r="E91" s="12">
        <f>SUMIFS(Events!$E$2:$E$10000,Events!$A$2:$A$10000,"&gt;="&amp;A91,Events!$A$2:$A$10000,"&lt;"&amp;EDATE(A91,1))</f>
        <v>0</v>
      </c>
      <c r="F91" s="12">
        <f>SUMIFS(Events!$F$2:$F$10000,Events!$A$2:$A$10000,"&gt;="&amp;A91,Events!$A$2:$A$10000,"&lt;"&amp;EDATE(A91,1))</f>
        <v>0</v>
      </c>
      <c r="G91" s="4"/>
    </row>
    <row r="92" spans="1:7" x14ac:dyDescent="0.2">
      <c r="A92" s="11">
        <v>42917</v>
      </c>
      <c r="B92" s="12">
        <f>COUNTIFS(Events!$A$2:$A$10000,"&gt;="&amp;A92,Events!$A$2:$A$10000,"&lt;"&amp;EDATE(A92,1))</f>
        <v>0</v>
      </c>
      <c r="C92" s="12">
        <f>SUMIFS(Events!$C$2:$C$10000,Events!$A$2:$A$10000,"&gt;="&amp;A92,Events!$A$2:$A$10000,"&lt;"&amp;EDATE(A92,1))</f>
        <v>0</v>
      </c>
      <c r="D92" s="12">
        <f>SUMIFS(Events!$D$2:$D$10000,Events!$A$2:$A$10000,"&gt;="&amp;A92,Events!$A$2:$A$10000,"&lt;"&amp;EDATE(A92,1))</f>
        <v>0</v>
      </c>
      <c r="E92" s="12">
        <f>SUMIFS(Events!$E$2:$E$10000,Events!$A$2:$A$10000,"&gt;="&amp;A92,Events!$A$2:$A$10000,"&lt;"&amp;EDATE(A92,1))</f>
        <v>0</v>
      </c>
      <c r="F92" s="12">
        <f>SUMIFS(Events!$F$2:$F$10000,Events!$A$2:$A$10000,"&gt;="&amp;A92,Events!$A$2:$A$10000,"&lt;"&amp;EDATE(A92,1))</f>
        <v>0</v>
      </c>
      <c r="G92" s="4"/>
    </row>
    <row r="93" spans="1:7" x14ac:dyDescent="0.2">
      <c r="A93" s="11">
        <v>42948</v>
      </c>
      <c r="B93" s="12">
        <f>COUNTIFS(Events!$A$2:$A$10000,"&gt;="&amp;A93,Events!$A$2:$A$10000,"&lt;"&amp;EDATE(A93,1))</f>
        <v>0</v>
      </c>
      <c r="C93" s="12">
        <f>SUMIFS(Events!$C$2:$C$10000,Events!$A$2:$A$10000,"&gt;="&amp;A93,Events!$A$2:$A$10000,"&lt;"&amp;EDATE(A93,1))</f>
        <v>0</v>
      </c>
      <c r="D93" s="12">
        <f>SUMIFS(Events!$D$2:$D$10000,Events!$A$2:$A$10000,"&gt;="&amp;A93,Events!$A$2:$A$10000,"&lt;"&amp;EDATE(A93,1))</f>
        <v>0</v>
      </c>
      <c r="E93" s="12">
        <f>SUMIFS(Events!$E$2:$E$10000,Events!$A$2:$A$10000,"&gt;="&amp;A93,Events!$A$2:$A$10000,"&lt;"&amp;EDATE(A93,1))</f>
        <v>0</v>
      </c>
      <c r="F93" s="12">
        <f>SUMIFS(Events!$F$2:$F$10000,Events!$A$2:$A$10000,"&gt;="&amp;A93,Events!$A$2:$A$10000,"&lt;"&amp;EDATE(A93,1))</f>
        <v>0</v>
      </c>
      <c r="G93" s="4"/>
    </row>
    <row r="94" spans="1:7" x14ac:dyDescent="0.2">
      <c r="A94" s="11">
        <v>42979</v>
      </c>
      <c r="B94" s="12">
        <f>COUNTIFS(Events!$A$2:$A$10000,"&gt;="&amp;A94,Events!$A$2:$A$10000,"&lt;"&amp;EDATE(A94,1))</f>
        <v>0</v>
      </c>
      <c r="C94" s="12">
        <f>SUMIFS(Events!$C$2:$C$10000,Events!$A$2:$A$10000,"&gt;="&amp;A94,Events!$A$2:$A$10000,"&lt;"&amp;EDATE(A94,1))</f>
        <v>0</v>
      </c>
      <c r="D94" s="12">
        <f>SUMIFS(Events!$D$2:$D$10000,Events!$A$2:$A$10000,"&gt;="&amp;A94,Events!$A$2:$A$10000,"&lt;"&amp;EDATE(A94,1))</f>
        <v>0</v>
      </c>
      <c r="E94" s="12">
        <f>SUMIFS(Events!$E$2:$E$10000,Events!$A$2:$A$10000,"&gt;="&amp;A94,Events!$A$2:$A$10000,"&lt;"&amp;EDATE(A94,1))</f>
        <v>0</v>
      </c>
      <c r="F94" s="12">
        <f>SUMIFS(Events!$F$2:$F$10000,Events!$A$2:$A$10000,"&gt;="&amp;A94,Events!$A$2:$A$10000,"&lt;"&amp;EDATE(A94,1))</f>
        <v>0</v>
      </c>
      <c r="G94" s="4"/>
    </row>
    <row r="95" spans="1:7" x14ac:dyDescent="0.2">
      <c r="A95" s="11">
        <v>43009</v>
      </c>
      <c r="B95" s="12">
        <f>COUNTIFS(Events!$A$2:$A$10000,"&gt;="&amp;A95,Events!$A$2:$A$10000,"&lt;"&amp;EDATE(A95,1))</f>
        <v>0</v>
      </c>
      <c r="C95" s="12">
        <f>SUMIFS(Events!$C$2:$C$10000,Events!$A$2:$A$10000,"&gt;="&amp;A95,Events!$A$2:$A$10000,"&lt;"&amp;EDATE(A95,1))</f>
        <v>0</v>
      </c>
      <c r="D95" s="12">
        <f>SUMIFS(Events!$D$2:$D$10000,Events!$A$2:$A$10000,"&gt;="&amp;A95,Events!$A$2:$A$10000,"&lt;"&amp;EDATE(A95,1))</f>
        <v>0</v>
      </c>
      <c r="E95" s="12">
        <f>SUMIFS(Events!$E$2:$E$10000,Events!$A$2:$A$10000,"&gt;="&amp;A95,Events!$A$2:$A$10000,"&lt;"&amp;EDATE(A95,1))</f>
        <v>0</v>
      </c>
      <c r="F95" s="12">
        <f>SUMIFS(Events!$F$2:$F$10000,Events!$A$2:$A$10000,"&gt;="&amp;A95,Events!$A$2:$A$10000,"&lt;"&amp;EDATE(A95,1))</f>
        <v>0</v>
      </c>
      <c r="G95" s="4"/>
    </row>
    <row r="96" spans="1:7" x14ac:dyDescent="0.2">
      <c r="A96" s="11">
        <v>43040</v>
      </c>
      <c r="B96" s="12">
        <f>COUNTIFS(Events!$A$2:$A$10000,"&gt;="&amp;A96,Events!$A$2:$A$10000,"&lt;"&amp;EDATE(A96,1))</f>
        <v>0</v>
      </c>
      <c r="C96" s="12">
        <f>SUMIFS(Events!$C$2:$C$10000,Events!$A$2:$A$10000,"&gt;="&amp;A96,Events!$A$2:$A$10000,"&lt;"&amp;EDATE(A96,1))</f>
        <v>0</v>
      </c>
      <c r="D96" s="12">
        <f>SUMIFS(Events!$D$2:$D$10000,Events!$A$2:$A$10000,"&gt;="&amp;A96,Events!$A$2:$A$10000,"&lt;"&amp;EDATE(A96,1))</f>
        <v>0</v>
      </c>
      <c r="E96" s="12">
        <f>SUMIFS(Events!$E$2:$E$10000,Events!$A$2:$A$10000,"&gt;="&amp;A96,Events!$A$2:$A$10000,"&lt;"&amp;EDATE(A96,1))</f>
        <v>0</v>
      </c>
      <c r="F96" s="12">
        <f>SUMIFS(Events!$F$2:$F$10000,Events!$A$2:$A$10000,"&gt;="&amp;A96,Events!$A$2:$A$10000,"&lt;"&amp;EDATE(A96,1))</f>
        <v>0</v>
      </c>
      <c r="G96" s="4"/>
    </row>
    <row r="97" spans="1:7" x14ac:dyDescent="0.2">
      <c r="A97" s="11">
        <v>43070</v>
      </c>
      <c r="B97" s="12">
        <f>COUNTIFS(Events!$A$2:$A$10000,"&gt;="&amp;A97,Events!$A$2:$A$10000,"&lt;"&amp;EDATE(A97,1))</f>
        <v>0</v>
      </c>
      <c r="C97" s="12">
        <f>SUMIFS(Events!$C$2:$C$10000,Events!$A$2:$A$10000,"&gt;="&amp;A97,Events!$A$2:$A$10000,"&lt;"&amp;EDATE(A97,1))</f>
        <v>0</v>
      </c>
      <c r="D97" s="12">
        <f>SUMIFS(Events!$D$2:$D$10000,Events!$A$2:$A$10000,"&gt;="&amp;A97,Events!$A$2:$A$10000,"&lt;"&amp;EDATE(A97,1))</f>
        <v>0</v>
      </c>
      <c r="E97" s="12">
        <f>SUMIFS(Events!$E$2:$E$10000,Events!$A$2:$A$10000,"&gt;="&amp;A97,Events!$A$2:$A$10000,"&lt;"&amp;EDATE(A97,1))</f>
        <v>0</v>
      </c>
      <c r="F97" s="12">
        <f>SUMIFS(Events!$F$2:$F$10000,Events!$A$2:$A$10000,"&gt;="&amp;A97,Events!$A$2:$A$10000,"&lt;"&amp;EDATE(A97,1))</f>
        <v>0</v>
      </c>
      <c r="G97" s="4"/>
    </row>
    <row r="98" spans="1:7" x14ac:dyDescent="0.2">
      <c r="A98" s="11">
        <v>43101</v>
      </c>
      <c r="B98" s="12">
        <f>COUNTIFS(Events!$A$2:$A$10000,"&gt;="&amp;A98,Events!$A$2:$A$10000,"&lt;"&amp;EDATE(A98,1))</f>
        <v>2</v>
      </c>
      <c r="C98" s="12">
        <f>SUMIFS(Events!$C$2:$C$10000,Events!$A$2:$A$10000,"&gt;="&amp;A98,Events!$A$2:$A$10000,"&lt;"&amp;EDATE(A98,1))</f>
        <v>0</v>
      </c>
      <c r="D98" s="12">
        <f>SUMIFS(Events!$D$2:$D$10000,Events!$A$2:$A$10000,"&gt;="&amp;A98,Events!$A$2:$A$10000,"&lt;"&amp;EDATE(A98,1))</f>
        <v>0</v>
      </c>
      <c r="E98" s="12">
        <f>SUMIFS(Events!$E$2:$E$10000,Events!$A$2:$A$10000,"&gt;="&amp;A98,Events!$A$2:$A$10000,"&lt;"&amp;EDATE(A98,1))</f>
        <v>1</v>
      </c>
      <c r="F98" s="12">
        <f>SUMIFS(Events!$F$2:$F$10000,Events!$A$2:$A$10000,"&gt;="&amp;A98,Events!$A$2:$A$10000,"&lt;"&amp;EDATE(A98,1))</f>
        <v>1</v>
      </c>
      <c r="G98" s="4"/>
    </row>
    <row r="99" spans="1:7" x14ac:dyDescent="0.2">
      <c r="A99" s="11">
        <v>43132</v>
      </c>
      <c r="B99" s="12">
        <f>COUNTIFS(Events!$A$2:$A$10000,"&gt;="&amp;A99,Events!$A$2:$A$10000,"&lt;"&amp;EDATE(A99,1))</f>
        <v>0</v>
      </c>
      <c r="C99" s="12">
        <f>SUMIFS(Events!$C$2:$C$10000,Events!$A$2:$A$10000,"&gt;="&amp;A99,Events!$A$2:$A$10000,"&lt;"&amp;EDATE(A99,1))</f>
        <v>0</v>
      </c>
      <c r="D99" s="12">
        <f>SUMIFS(Events!$D$2:$D$10000,Events!$A$2:$A$10000,"&gt;="&amp;A99,Events!$A$2:$A$10000,"&lt;"&amp;EDATE(A99,1))</f>
        <v>0</v>
      </c>
      <c r="E99" s="12">
        <f>SUMIFS(Events!$E$2:$E$10000,Events!$A$2:$A$10000,"&gt;="&amp;A99,Events!$A$2:$A$10000,"&lt;"&amp;EDATE(A99,1))</f>
        <v>0</v>
      </c>
      <c r="F99" s="12">
        <f>SUMIFS(Events!$F$2:$F$10000,Events!$A$2:$A$10000,"&gt;="&amp;A99,Events!$A$2:$A$10000,"&lt;"&amp;EDATE(A99,1))</f>
        <v>0</v>
      </c>
      <c r="G99" s="4"/>
    </row>
    <row r="100" spans="1:7" ht="30" customHeight="1" x14ac:dyDescent="0.2">
      <c r="A100" s="11">
        <v>43160</v>
      </c>
      <c r="B100" s="12">
        <f>COUNTIFS(Events!$A$2:$A$10000,"&gt;="&amp;A100,Events!$A$2:$A$10000,"&lt;"&amp;EDATE(A100,1))</f>
        <v>3</v>
      </c>
      <c r="C100" s="12">
        <f>SUMIFS(Events!$C$2:$C$10000,Events!$A$2:$A$10000,"&gt;="&amp;A100,Events!$A$2:$A$10000,"&lt;"&amp;EDATE(A100,1))</f>
        <v>3</v>
      </c>
      <c r="D100" s="12">
        <f>SUMIFS(Events!$D$2:$D$10000,Events!$A$2:$A$10000,"&gt;="&amp;A100,Events!$A$2:$A$10000,"&lt;"&amp;EDATE(A100,1))</f>
        <v>0</v>
      </c>
      <c r="E100" s="12">
        <f>SUMIFS(Events!$E$2:$E$10000,Events!$A$2:$A$10000,"&gt;="&amp;A100,Events!$A$2:$A$10000,"&lt;"&amp;EDATE(A100,1))</f>
        <v>0</v>
      </c>
      <c r="F100" s="12">
        <f>SUMIFS(Events!$F$2:$F$10000,Events!$A$2:$A$10000,"&gt;="&amp;A100,Events!$A$2:$A$10000,"&lt;"&amp;EDATE(A100,1))</f>
        <v>0</v>
      </c>
      <c r="G100" s="13" t="s">
        <v>537</v>
      </c>
    </row>
    <row r="101" spans="1:7" x14ac:dyDescent="0.2">
      <c r="A101" s="11">
        <v>43191</v>
      </c>
      <c r="B101" s="12">
        <f>COUNTIFS(Events!$A$2:$A$10000,"&gt;="&amp;A101,Events!$A$2:$A$10000,"&lt;"&amp;EDATE(A101,1))</f>
        <v>0</v>
      </c>
      <c r="C101" s="12">
        <f>SUMIFS(Events!$C$2:$C$10000,Events!$A$2:$A$10000,"&gt;="&amp;A101,Events!$A$2:$A$10000,"&lt;"&amp;EDATE(A101,1))</f>
        <v>0</v>
      </c>
      <c r="D101" s="12">
        <f>SUMIFS(Events!$D$2:$D$10000,Events!$A$2:$A$10000,"&gt;="&amp;A101,Events!$A$2:$A$10000,"&lt;"&amp;EDATE(A101,1))</f>
        <v>0</v>
      </c>
      <c r="E101" s="12">
        <f>SUMIFS(Events!$E$2:$E$10000,Events!$A$2:$A$10000,"&gt;="&amp;A101,Events!$A$2:$A$10000,"&lt;"&amp;EDATE(A101,1))</f>
        <v>0</v>
      </c>
      <c r="F101" s="12">
        <f>SUMIFS(Events!$F$2:$F$10000,Events!$A$2:$A$10000,"&gt;="&amp;A101,Events!$A$2:$A$10000,"&lt;"&amp;EDATE(A101,1))</f>
        <v>0</v>
      </c>
      <c r="G101" s="4"/>
    </row>
    <row r="102" spans="1:7" x14ac:dyDescent="0.2">
      <c r="A102" s="11">
        <v>43221</v>
      </c>
      <c r="B102" s="12">
        <f>COUNTIFS(Events!$A$2:$A$10000,"&gt;="&amp;A102,Events!$A$2:$A$10000,"&lt;"&amp;EDATE(A102,1))</f>
        <v>0</v>
      </c>
      <c r="C102" s="12">
        <f>SUMIFS(Events!$C$2:$C$10000,Events!$A$2:$A$10000,"&gt;="&amp;A102,Events!$A$2:$A$10000,"&lt;"&amp;EDATE(A102,1))</f>
        <v>0</v>
      </c>
      <c r="D102" s="12">
        <f>SUMIFS(Events!$D$2:$D$10000,Events!$A$2:$A$10000,"&gt;="&amp;A102,Events!$A$2:$A$10000,"&lt;"&amp;EDATE(A102,1))</f>
        <v>0</v>
      </c>
      <c r="E102" s="12">
        <f>SUMIFS(Events!$E$2:$E$10000,Events!$A$2:$A$10000,"&gt;="&amp;A102,Events!$A$2:$A$10000,"&lt;"&amp;EDATE(A102,1))</f>
        <v>0</v>
      </c>
      <c r="F102" s="12">
        <f>SUMIFS(Events!$F$2:$F$10000,Events!$A$2:$A$10000,"&gt;="&amp;A102,Events!$A$2:$A$10000,"&lt;"&amp;EDATE(A102,1))</f>
        <v>0</v>
      </c>
      <c r="G102" s="4"/>
    </row>
    <row r="103" spans="1:7" x14ac:dyDescent="0.2">
      <c r="A103" s="11">
        <v>43252</v>
      </c>
      <c r="B103" s="12">
        <f>COUNTIFS(Events!$A$2:$A$10000,"&gt;="&amp;A103,Events!$A$2:$A$10000,"&lt;"&amp;EDATE(A103,1))</f>
        <v>0</v>
      </c>
      <c r="C103" s="12">
        <f>SUMIFS(Events!$C$2:$C$10000,Events!$A$2:$A$10000,"&gt;="&amp;A103,Events!$A$2:$A$10000,"&lt;"&amp;EDATE(A103,1))</f>
        <v>0</v>
      </c>
      <c r="D103" s="12">
        <f>SUMIFS(Events!$D$2:$D$10000,Events!$A$2:$A$10000,"&gt;="&amp;A103,Events!$A$2:$A$10000,"&lt;"&amp;EDATE(A103,1))</f>
        <v>0</v>
      </c>
      <c r="E103" s="12">
        <f>SUMIFS(Events!$E$2:$E$10000,Events!$A$2:$A$10000,"&gt;="&amp;A103,Events!$A$2:$A$10000,"&lt;"&amp;EDATE(A103,1))</f>
        <v>0</v>
      </c>
      <c r="F103" s="12">
        <f>SUMIFS(Events!$F$2:$F$10000,Events!$A$2:$A$10000,"&gt;="&amp;A103,Events!$A$2:$A$10000,"&lt;"&amp;EDATE(A103,1))</f>
        <v>0</v>
      </c>
      <c r="G103" s="4"/>
    </row>
    <row r="104" spans="1:7" ht="30" customHeight="1" x14ac:dyDescent="0.2">
      <c r="A104" s="11">
        <v>43282</v>
      </c>
      <c r="B104" s="12">
        <f>COUNTIFS(Events!$A$2:$A$10000,"&gt;="&amp;A104,Events!$A$2:$A$10000,"&lt;"&amp;EDATE(A104,1))</f>
        <v>1</v>
      </c>
      <c r="C104" s="12">
        <f>SUMIFS(Events!$C$2:$C$10000,Events!$A$2:$A$10000,"&gt;="&amp;A104,Events!$A$2:$A$10000,"&lt;"&amp;EDATE(A104,1))</f>
        <v>0</v>
      </c>
      <c r="D104" s="12">
        <f>SUMIFS(Events!$D$2:$D$10000,Events!$A$2:$A$10000,"&gt;="&amp;A104,Events!$A$2:$A$10000,"&lt;"&amp;EDATE(A104,1))</f>
        <v>0</v>
      </c>
      <c r="E104" s="12">
        <f>SUMIFS(Events!$E$2:$E$10000,Events!$A$2:$A$10000,"&gt;="&amp;A104,Events!$A$2:$A$10000,"&lt;"&amp;EDATE(A104,1))</f>
        <v>1</v>
      </c>
      <c r="F104" s="12">
        <f>SUMIFS(Events!$F$2:$F$10000,Events!$A$2:$A$10000,"&gt;="&amp;A104,Events!$A$2:$A$10000,"&lt;"&amp;EDATE(A104,1))</f>
        <v>0</v>
      </c>
      <c r="G104" s="13" t="s">
        <v>538</v>
      </c>
    </row>
    <row r="105" spans="1:7" x14ac:dyDescent="0.2">
      <c r="A105" s="11">
        <v>43313</v>
      </c>
      <c r="B105" s="12">
        <f>COUNTIFS(Events!$A$2:$A$10000,"&gt;="&amp;A105,Events!$A$2:$A$10000,"&lt;"&amp;EDATE(A105,1))</f>
        <v>0</v>
      </c>
      <c r="C105" s="12">
        <f>SUMIFS(Events!$C$2:$C$10000,Events!$A$2:$A$10000,"&gt;="&amp;A105,Events!$A$2:$A$10000,"&lt;"&amp;EDATE(A105,1))</f>
        <v>0</v>
      </c>
      <c r="D105" s="12">
        <f>SUMIFS(Events!$D$2:$D$10000,Events!$A$2:$A$10000,"&gt;="&amp;A105,Events!$A$2:$A$10000,"&lt;"&amp;EDATE(A105,1))</f>
        <v>0</v>
      </c>
      <c r="E105" s="12">
        <f>SUMIFS(Events!$E$2:$E$10000,Events!$A$2:$A$10000,"&gt;="&amp;A105,Events!$A$2:$A$10000,"&lt;"&amp;EDATE(A105,1))</f>
        <v>0</v>
      </c>
      <c r="F105" s="12">
        <f>SUMIFS(Events!$F$2:$F$10000,Events!$A$2:$A$10000,"&gt;="&amp;A105,Events!$A$2:$A$10000,"&lt;"&amp;EDATE(A105,1))</f>
        <v>0</v>
      </c>
      <c r="G105" s="4"/>
    </row>
    <row r="106" spans="1:7" x14ac:dyDescent="0.2">
      <c r="A106" s="11">
        <v>43344</v>
      </c>
      <c r="B106" s="12">
        <f>COUNTIFS(Events!$A$2:$A$10000,"&gt;="&amp;A106,Events!$A$2:$A$10000,"&lt;"&amp;EDATE(A106,1))</f>
        <v>0</v>
      </c>
      <c r="C106" s="12">
        <f>SUMIFS(Events!$C$2:$C$10000,Events!$A$2:$A$10000,"&gt;="&amp;A106,Events!$A$2:$A$10000,"&lt;"&amp;EDATE(A106,1))</f>
        <v>0</v>
      </c>
      <c r="D106" s="12">
        <f>SUMIFS(Events!$D$2:$D$10000,Events!$A$2:$A$10000,"&gt;="&amp;A106,Events!$A$2:$A$10000,"&lt;"&amp;EDATE(A106,1))</f>
        <v>0</v>
      </c>
      <c r="E106" s="12">
        <f>SUMIFS(Events!$E$2:$E$10000,Events!$A$2:$A$10000,"&gt;="&amp;A106,Events!$A$2:$A$10000,"&lt;"&amp;EDATE(A106,1))</f>
        <v>0</v>
      </c>
      <c r="F106" s="12">
        <f>SUMIFS(Events!$F$2:$F$10000,Events!$A$2:$A$10000,"&gt;="&amp;A106,Events!$A$2:$A$10000,"&lt;"&amp;EDATE(A106,1))</f>
        <v>0</v>
      </c>
      <c r="G106" s="4"/>
    </row>
    <row r="107" spans="1:7" x14ac:dyDescent="0.2">
      <c r="A107" s="11">
        <v>43374</v>
      </c>
      <c r="B107" s="12">
        <f>COUNTIFS(Events!$A$2:$A$10000,"&gt;="&amp;A107,Events!$A$2:$A$10000,"&lt;"&amp;EDATE(A107,1))</f>
        <v>0</v>
      </c>
      <c r="C107" s="12">
        <f>SUMIFS(Events!$C$2:$C$10000,Events!$A$2:$A$10000,"&gt;="&amp;A107,Events!$A$2:$A$10000,"&lt;"&amp;EDATE(A107,1))</f>
        <v>0</v>
      </c>
      <c r="D107" s="12">
        <f>SUMIFS(Events!$D$2:$D$10000,Events!$A$2:$A$10000,"&gt;="&amp;A107,Events!$A$2:$A$10000,"&lt;"&amp;EDATE(A107,1))</f>
        <v>0</v>
      </c>
      <c r="E107" s="12">
        <f>SUMIFS(Events!$E$2:$E$10000,Events!$A$2:$A$10000,"&gt;="&amp;A107,Events!$A$2:$A$10000,"&lt;"&amp;EDATE(A107,1))</f>
        <v>0</v>
      </c>
      <c r="F107" s="12">
        <f>SUMIFS(Events!$F$2:$F$10000,Events!$A$2:$A$10000,"&gt;="&amp;A107,Events!$A$2:$A$10000,"&lt;"&amp;EDATE(A107,1))</f>
        <v>0</v>
      </c>
      <c r="G107" s="4"/>
    </row>
    <row r="108" spans="1:7" x14ac:dyDescent="0.2">
      <c r="A108" s="11">
        <v>43405</v>
      </c>
      <c r="B108" s="12">
        <f>COUNTIFS(Events!$A$2:$A$10000,"&gt;="&amp;A108,Events!$A$2:$A$10000,"&lt;"&amp;EDATE(A108,1))</f>
        <v>0</v>
      </c>
      <c r="C108" s="12">
        <f>SUMIFS(Events!$C$2:$C$10000,Events!$A$2:$A$10000,"&gt;="&amp;A108,Events!$A$2:$A$10000,"&lt;"&amp;EDATE(A108,1))</f>
        <v>0</v>
      </c>
      <c r="D108" s="12">
        <f>SUMIFS(Events!$D$2:$D$10000,Events!$A$2:$A$10000,"&gt;="&amp;A108,Events!$A$2:$A$10000,"&lt;"&amp;EDATE(A108,1))</f>
        <v>0</v>
      </c>
      <c r="E108" s="12">
        <f>SUMIFS(Events!$E$2:$E$10000,Events!$A$2:$A$10000,"&gt;="&amp;A108,Events!$A$2:$A$10000,"&lt;"&amp;EDATE(A108,1))</f>
        <v>0</v>
      </c>
      <c r="F108" s="12">
        <f>SUMIFS(Events!$F$2:$F$10000,Events!$A$2:$A$10000,"&gt;="&amp;A108,Events!$A$2:$A$10000,"&lt;"&amp;EDATE(A108,1))</f>
        <v>0</v>
      </c>
      <c r="G108" s="4"/>
    </row>
    <row r="109" spans="1:7" x14ac:dyDescent="0.2">
      <c r="A109" s="11">
        <v>43435</v>
      </c>
      <c r="B109" s="12">
        <f>COUNTIFS(Events!$A$2:$A$10000,"&gt;="&amp;A109,Events!$A$2:$A$10000,"&lt;"&amp;EDATE(A109,1))</f>
        <v>0</v>
      </c>
      <c r="C109" s="12">
        <f>SUMIFS(Events!$C$2:$C$10000,Events!$A$2:$A$10000,"&gt;="&amp;A109,Events!$A$2:$A$10000,"&lt;"&amp;EDATE(A109,1))</f>
        <v>0</v>
      </c>
      <c r="D109" s="12">
        <f>SUMIFS(Events!$D$2:$D$10000,Events!$A$2:$A$10000,"&gt;="&amp;A109,Events!$A$2:$A$10000,"&lt;"&amp;EDATE(A109,1))</f>
        <v>0</v>
      </c>
      <c r="E109" s="12">
        <f>SUMIFS(Events!$E$2:$E$10000,Events!$A$2:$A$10000,"&gt;="&amp;A109,Events!$A$2:$A$10000,"&lt;"&amp;EDATE(A109,1))</f>
        <v>0</v>
      </c>
      <c r="F109" s="12">
        <f>SUMIFS(Events!$F$2:$F$10000,Events!$A$2:$A$10000,"&gt;="&amp;A109,Events!$A$2:$A$10000,"&lt;"&amp;EDATE(A109,1))</f>
        <v>0</v>
      </c>
      <c r="G109" s="4"/>
    </row>
    <row r="110" spans="1:7" x14ac:dyDescent="0.2">
      <c r="A110" s="11">
        <v>43466</v>
      </c>
      <c r="B110" s="12">
        <f>COUNTIFS(Events!$A$2:$A$10000,"&gt;="&amp;A110,Events!$A$2:$A$10000,"&lt;"&amp;EDATE(A110,1))</f>
        <v>0</v>
      </c>
      <c r="C110" s="12">
        <f>SUMIFS(Events!$C$2:$C$10000,Events!$A$2:$A$10000,"&gt;="&amp;A110,Events!$A$2:$A$10000,"&lt;"&amp;EDATE(A110,1))</f>
        <v>0</v>
      </c>
      <c r="D110" s="12">
        <f>SUMIFS(Events!$D$2:$D$10000,Events!$A$2:$A$10000,"&gt;="&amp;A110,Events!$A$2:$A$10000,"&lt;"&amp;EDATE(A110,1))</f>
        <v>0</v>
      </c>
      <c r="E110" s="12">
        <f>SUMIFS(Events!$E$2:$E$10000,Events!$A$2:$A$10000,"&gt;="&amp;A110,Events!$A$2:$A$10000,"&lt;"&amp;EDATE(A110,1))</f>
        <v>0</v>
      </c>
      <c r="F110" s="12">
        <f>SUMIFS(Events!$F$2:$F$10000,Events!$A$2:$A$10000,"&gt;="&amp;A110,Events!$A$2:$A$10000,"&lt;"&amp;EDATE(A110,1))</f>
        <v>0</v>
      </c>
      <c r="G110" s="4"/>
    </row>
    <row r="111" spans="1:7" x14ac:dyDescent="0.2">
      <c r="A111" s="11">
        <v>43497</v>
      </c>
      <c r="B111" s="12">
        <f>COUNTIFS(Events!$A$2:$A$10000,"&gt;="&amp;A111,Events!$A$2:$A$10000,"&lt;"&amp;EDATE(A111,1))</f>
        <v>0</v>
      </c>
      <c r="C111" s="12">
        <f>SUMIFS(Events!$C$2:$C$10000,Events!$A$2:$A$10000,"&gt;="&amp;A111,Events!$A$2:$A$10000,"&lt;"&amp;EDATE(A111,1))</f>
        <v>0</v>
      </c>
      <c r="D111" s="12">
        <f>SUMIFS(Events!$D$2:$D$10000,Events!$A$2:$A$10000,"&gt;="&amp;A111,Events!$A$2:$A$10000,"&lt;"&amp;EDATE(A111,1))</f>
        <v>0</v>
      </c>
      <c r="E111" s="12">
        <f>SUMIFS(Events!$E$2:$E$10000,Events!$A$2:$A$10000,"&gt;="&amp;A111,Events!$A$2:$A$10000,"&lt;"&amp;EDATE(A111,1))</f>
        <v>0</v>
      </c>
      <c r="F111" s="12">
        <f>SUMIFS(Events!$F$2:$F$10000,Events!$A$2:$A$10000,"&gt;="&amp;A111,Events!$A$2:$A$10000,"&lt;"&amp;EDATE(A111,1))</f>
        <v>0</v>
      </c>
      <c r="G111" s="4"/>
    </row>
    <row r="112" spans="1:7" x14ac:dyDescent="0.2">
      <c r="A112" s="11">
        <v>43525</v>
      </c>
      <c r="B112" s="12">
        <f>COUNTIFS(Events!$A$2:$A$10000,"&gt;="&amp;A112,Events!$A$2:$A$10000,"&lt;"&amp;EDATE(A112,1))</f>
        <v>0</v>
      </c>
      <c r="C112" s="12">
        <f>SUMIFS(Events!$C$2:$C$10000,Events!$A$2:$A$10000,"&gt;="&amp;A112,Events!$A$2:$A$10000,"&lt;"&amp;EDATE(A112,1))</f>
        <v>0</v>
      </c>
      <c r="D112" s="12">
        <f>SUMIFS(Events!$D$2:$D$10000,Events!$A$2:$A$10000,"&gt;="&amp;A112,Events!$A$2:$A$10000,"&lt;"&amp;EDATE(A112,1))</f>
        <v>0</v>
      </c>
      <c r="E112" s="12">
        <f>SUMIFS(Events!$E$2:$E$10000,Events!$A$2:$A$10000,"&gt;="&amp;A112,Events!$A$2:$A$10000,"&lt;"&amp;EDATE(A112,1))</f>
        <v>0</v>
      </c>
      <c r="F112" s="12">
        <f>SUMIFS(Events!$F$2:$F$10000,Events!$A$2:$A$10000,"&gt;="&amp;A112,Events!$A$2:$A$10000,"&lt;"&amp;EDATE(A112,1))</f>
        <v>0</v>
      </c>
      <c r="G112" s="4"/>
    </row>
    <row r="113" spans="1:7" x14ac:dyDescent="0.2">
      <c r="A113" s="11">
        <v>43556</v>
      </c>
      <c r="B113" s="12">
        <f>COUNTIFS(Events!$A$2:$A$10000,"&gt;="&amp;A113,Events!$A$2:$A$10000,"&lt;"&amp;EDATE(A113,1))</f>
        <v>0</v>
      </c>
      <c r="C113" s="12">
        <f>SUMIFS(Events!$C$2:$C$10000,Events!$A$2:$A$10000,"&gt;="&amp;A113,Events!$A$2:$A$10000,"&lt;"&amp;EDATE(A113,1))</f>
        <v>0</v>
      </c>
      <c r="D113" s="12">
        <f>SUMIFS(Events!$D$2:$D$10000,Events!$A$2:$A$10000,"&gt;="&amp;A113,Events!$A$2:$A$10000,"&lt;"&amp;EDATE(A113,1))</f>
        <v>0</v>
      </c>
      <c r="E113" s="12">
        <f>SUMIFS(Events!$E$2:$E$10000,Events!$A$2:$A$10000,"&gt;="&amp;A113,Events!$A$2:$A$10000,"&lt;"&amp;EDATE(A113,1))</f>
        <v>0</v>
      </c>
      <c r="F113" s="12">
        <f>SUMIFS(Events!$F$2:$F$10000,Events!$A$2:$A$10000,"&gt;="&amp;A113,Events!$A$2:$A$10000,"&lt;"&amp;EDATE(A113,1))</f>
        <v>0</v>
      </c>
      <c r="G113" s="4"/>
    </row>
    <row r="114" spans="1:7" x14ac:dyDescent="0.2">
      <c r="A114" s="11">
        <v>43586</v>
      </c>
      <c r="B114" s="12">
        <f>COUNTIFS(Events!$A$2:$A$10000,"&gt;="&amp;A114,Events!$A$2:$A$10000,"&lt;"&amp;EDATE(A114,1))</f>
        <v>0</v>
      </c>
      <c r="C114" s="12">
        <f>SUMIFS(Events!$C$2:$C$10000,Events!$A$2:$A$10000,"&gt;="&amp;A114,Events!$A$2:$A$10000,"&lt;"&amp;EDATE(A114,1))</f>
        <v>0</v>
      </c>
      <c r="D114" s="12">
        <f>SUMIFS(Events!$D$2:$D$10000,Events!$A$2:$A$10000,"&gt;="&amp;A114,Events!$A$2:$A$10000,"&lt;"&amp;EDATE(A114,1))</f>
        <v>0</v>
      </c>
      <c r="E114" s="12">
        <f>SUMIFS(Events!$E$2:$E$10000,Events!$A$2:$A$10000,"&gt;="&amp;A114,Events!$A$2:$A$10000,"&lt;"&amp;EDATE(A114,1))</f>
        <v>0</v>
      </c>
      <c r="F114" s="12">
        <f>SUMIFS(Events!$F$2:$F$10000,Events!$A$2:$A$10000,"&gt;="&amp;A114,Events!$A$2:$A$10000,"&lt;"&amp;EDATE(A114,1))</f>
        <v>0</v>
      </c>
      <c r="G114" s="4"/>
    </row>
    <row r="115" spans="1:7" x14ac:dyDescent="0.2">
      <c r="A115" s="11">
        <v>43617</v>
      </c>
      <c r="B115" s="12">
        <f>COUNTIFS(Events!$A$2:$A$10000,"&gt;="&amp;A115,Events!$A$2:$A$10000,"&lt;"&amp;EDATE(A115,1))</f>
        <v>1</v>
      </c>
      <c r="C115" s="12">
        <f>SUMIFS(Events!$C$2:$C$10000,Events!$A$2:$A$10000,"&gt;="&amp;A115,Events!$A$2:$A$10000,"&lt;"&amp;EDATE(A115,1))</f>
        <v>0</v>
      </c>
      <c r="D115" s="12">
        <f>SUMIFS(Events!$D$2:$D$10000,Events!$A$2:$A$10000,"&gt;="&amp;A115,Events!$A$2:$A$10000,"&lt;"&amp;EDATE(A115,1))</f>
        <v>0</v>
      </c>
      <c r="E115" s="12">
        <f>SUMIFS(Events!$E$2:$E$10000,Events!$A$2:$A$10000,"&gt;="&amp;A115,Events!$A$2:$A$10000,"&lt;"&amp;EDATE(A115,1))</f>
        <v>0</v>
      </c>
      <c r="F115" s="12">
        <f>SUMIFS(Events!$F$2:$F$10000,Events!$A$2:$A$10000,"&gt;="&amp;A115,Events!$A$2:$A$10000,"&lt;"&amp;EDATE(A115,1))</f>
        <v>1</v>
      </c>
      <c r="G115" s="4"/>
    </row>
    <row r="116" spans="1:7" x14ac:dyDescent="0.2">
      <c r="A116" s="11">
        <v>43647</v>
      </c>
      <c r="B116" s="12">
        <f>COUNTIFS(Events!$A$2:$A$10000,"&gt;="&amp;A116,Events!$A$2:$A$10000,"&lt;"&amp;EDATE(A116,1))</f>
        <v>0</v>
      </c>
      <c r="C116" s="12">
        <f>SUMIFS(Events!$C$2:$C$10000,Events!$A$2:$A$10000,"&gt;="&amp;A116,Events!$A$2:$A$10000,"&lt;"&amp;EDATE(A116,1))</f>
        <v>0</v>
      </c>
      <c r="D116" s="12">
        <f>SUMIFS(Events!$D$2:$D$10000,Events!$A$2:$A$10000,"&gt;="&amp;A116,Events!$A$2:$A$10000,"&lt;"&amp;EDATE(A116,1))</f>
        <v>0</v>
      </c>
      <c r="E116" s="12">
        <f>SUMIFS(Events!$E$2:$E$10000,Events!$A$2:$A$10000,"&gt;="&amp;A116,Events!$A$2:$A$10000,"&lt;"&amp;EDATE(A116,1))</f>
        <v>0</v>
      </c>
      <c r="F116" s="12">
        <f>SUMIFS(Events!$F$2:$F$10000,Events!$A$2:$A$10000,"&gt;="&amp;A116,Events!$A$2:$A$10000,"&lt;"&amp;EDATE(A116,1))</f>
        <v>0</v>
      </c>
      <c r="G116" s="4"/>
    </row>
    <row r="117" spans="1:7" x14ac:dyDescent="0.2">
      <c r="A117" s="11">
        <v>43678</v>
      </c>
      <c r="B117" s="12">
        <f>COUNTIFS(Events!$A$2:$A$10000,"&gt;="&amp;A117,Events!$A$2:$A$10000,"&lt;"&amp;EDATE(A117,1))</f>
        <v>0</v>
      </c>
      <c r="C117" s="12">
        <f>SUMIFS(Events!$C$2:$C$10000,Events!$A$2:$A$10000,"&gt;="&amp;A117,Events!$A$2:$A$10000,"&lt;"&amp;EDATE(A117,1))</f>
        <v>0</v>
      </c>
      <c r="D117" s="12">
        <f>SUMIFS(Events!$D$2:$D$10000,Events!$A$2:$A$10000,"&gt;="&amp;A117,Events!$A$2:$A$10000,"&lt;"&amp;EDATE(A117,1))</f>
        <v>0</v>
      </c>
      <c r="E117" s="12">
        <f>SUMIFS(Events!$E$2:$E$10000,Events!$A$2:$A$10000,"&gt;="&amp;A117,Events!$A$2:$A$10000,"&lt;"&amp;EDATE(A117,1))</f>
        <v>0</v>
      </c>
      <c r="F117" s="12">
        <f>SUMIFS(Events!$F$2:$F$10000,Events!$A$2:$A$10000,"&gt;="&amp;A117,Events!$A$2:$A$10000,"&lt;"&amp;EDATE(A117,1))</f>
        <v>0</v>
      </c>
      <c r="G117" s="4"/>
    </row>
    <row r="118" spans="1:7" x14ac:dyDescent="0.2">
      <c r="A118" s="11">
        <v>43709</v>
      </c>
      <c r="B118" s="12">
        <f>COUNTIFS(Events!$A$2:$A$10000,"&gt;="&amp;A118,Events!$A$2:$A$10000,"&lt;"&amp;EDATE(A118,1))</f>
        <v>0</v>
      </c>
      <c r="C118" s="12">
        <f>SUMIFS(Events!$C$2:$C$10000,Events!$A$2:$A$10000,"&gt;="&amp;A118,Events!$A$2:$A$10000,"&lt;"&amp;EDATE(A118,1))</f>
        <v>0</v>
      </c>
      <c r="D118" s="12">
        <f>SUMIFS(Events!$D$2:$D$10000,Events!$A$2:$A$10000,"&gt;="&amp;A118,Events!$A$2:$A$10000,"&lt;"&amp;EDATE(A118,1))</f>
        <v>0</v>
      </c>
      <c r="E118" s="12">
        <f>SUMIFS(Events!$E$2:$E$10000,Events!$A$2:$A$10000,"&gt;="&amp;A118,Events!$A$2:$A$10000,"&lt;"&amp;EDATE(A118,1))</f>
        <v>0</v>
      </c>
      <c r="F118" s="12">
        <f>SUMIFS(Events!$F$2:$F$10000,Events!$A$2:$A$10000,"&gt;="&amp;A118,Events!$A$2:$A$10000,"&lt;"&amp;EDATE(A118,1))</f>
        <v>0</v>
      </c>
      <c r="G118" s="4"/>
    </row>
    <row r="119" spans="1:7" x14ac:dyDescent="0.2">
      <c r="A119" s="11">
        <v>43739</v>
      </c>
      <c r="B119" s="12">
        <f>COUNTIFS(Events!$A$2:$A$10000,"&gt;="&amp;A119,Events!$A$2:$A$10000,"&lt;"&amp;EDATE(A119,1))</f>
        <v>0</v>
      </c>
      <c r="C119" s="12">
        <f>SUMIFS(Events!$C$2:$C$10000,Events!$A$2:$A$10000,"&gt;="&amp;A119,Events!$A$2:$A$10000,"&lt;"&amp;EDATE(A119,1))</f>
        <v>0</v>
      </c>
      <c r="D119" s="12">
        <f>SUMIFS(Events!$D$2:$D$10000,Events!$A$2:$A$10000,"&gt;="&amp;A119,Events!$A$2:$A$10000,"&lt;"&amp;EDATE(A119,1))</f>
        <v>0</v>
      </c>
      <c r="E119" s="12">
        <f>SUMIFS(Events!$E$2:$E$10000,Events!$A$2:$A$10000,"&gt;="&amp;A119,Events!$A$2:$A$10000,"&lt;"&amp;EDATE(A119,1))</f>
        <v>0</v>
      </c>
      <c r="F119" s="12">
        <f>SUMIFS(Events!$F$2:$F$10000,Events!$A$2:$A$10000,"&gt;="&amp;A119,Events!$A$2:$A$10000,"&lt;"&amp;EDATE(A119,1))</f>
        <v>0</v>
      </c>
      <c r="G119" s="4"/>
    </row>
    <row r="120" spans="1:7" x14ac:dyDescent="0.2">
      <c r="A120" s="11">
        <v>43770</v>
      </c>
      <c r="B120" s="12">
        <f>COUNTIFS(Events!$A$2:$A$10000,"&gt;="&amp;A120,Events!$A$2:$A$10000,"&lt;"&amp;EDATE(A120,1))</f>
        <v>0</v>
      </c>
      <c r="C120" s="12">
        <f>SUMIFS(Events!$C$2:$C$10000,Events!$A$2:$A$10000,"&gt;="&amp;A120,Events!$A$2:$A$10000,"&lt;"&amp;EDATE(A120,1))</f>
        <v>0</v>
      </c>
      <c r="D120" s="12">
        <f>SUMIFS(Events!$D$2:$D$10000,Events!$A$2:$A$10000,"&gt;="&amp;A120,Events!$A$2:$A$10000,"&lt;"&amp;EDATE(A120,1))</f>
        <v>0</v>
      </c>
      <c r="E120" s="12">
        <f>SUMIFS(Events!$E$2:$E$10000,Events!$A$2:$A$10000,"&gt;="&amp;A120,Events!$A$2:$A$10000,"&lt;"&amp;EDATE(A120,1))</f>
        <v>0</v>
      </c>
      <c r="F120" s="12">
        <f>SUMIFS(Events!$F$2:$F$10000,Events!$A$2:$A$10000,"&gt;="&amp;A120,Events!$A$2:$A$10000,"&lt;"&amp;EDATE(A120,1))</f>
        <v>0</v>
      </c>
      <c r="G120" s="4"/>
    </row>
    <row r="121" spans="1:7" x14ac:dyDescent="0.2">
      <c r="A121" s="11">
        <v>43800</v>
      </c>
      <c r="B121" s="12">
        <f>COUNTIFS(Events!$A$2:$A$10000,"&gt;="&amp;A121,Events!$A$2:$A$10000,"&lt;"&amp;EDATE(A121,1))</f>
        <v>0</v>
      </c>
      <c r="C121" s="12">
        <f>SUMIFS(Events!$C$2:$C$10000,Events!$A$2:$A$10000,"&gt;="&amp;A121,Events!$A$2:$A$10000,"&lt;"&amp;EDATE(A121,1))</f>
        <v>0</v>
      </c>
      <c r="D121" s="12">
        <f>SUMIFS(Events!$D$2:$D$10000,Events!$A$2:$A$10000,"&gt;="&amp;A121,Events!$A$2:$A$10000,"&lt;"&amp;EDATE(A121,1))</f>
        <v>0</v>
      </c>
      <c r="E121" s="12">
        <f>SUMIFS(Events!$E$2:$E$10000,Events!$A$2:$A$10000,"&gt;="&amp;A121,Events!$A$2:$A$10000,"&lt;"&amp;EDATE(A121,1))</f>
        <v>0</v>
      </c>
      <c r="F121" s="12">
        <f>SUMIFS(Events!$F$2:$F$10000,Events!$A$2:$A$10000,"&gt;="&amp;A121,Events!$A$2:$A$10000,"&lt;"&amp;EDATE(A121,1))</f>
        <v>0</v>
      </c>
      <c r="G121" s="4"/>
    </row>
    <row r="122" spans="1:7" x14ac:dyDescent="0.2">
      <c r="A122" s="11">
        <v>43831</v>
      </c>
      <c r="B122" s="12">
        <f>COUNTIFS(Events!$A$2:$A$10000,"&gt;="&amp;A122,Events!$A$2:$A$10000,"&lt;"&amp;EDATE(A122,1))</f>
        <v>0</v>
      </c>
      <c r="C122" s="12">
        <f>SUMIFS(Events!$C$2:$C$10000,Events!$A$2:$A$10000,"&gt;="&amp;A122,Events!$A$2:$A$10000,"&lt;"&amp;EDATE(A122,1))</f>
        <v>0</v>
      </c>
      <c r="D122" s="12">
        <f>SUMIFS(Events!$D$2:$D$10000,Events!$A$2:$A$10000,"&gt;="&amp;A122,Events!$A$2:$A$10000,"&lt;"&amp;EDATE(A122,1))</f>
        <v>0</v>
      </c>
      <c r="E122" s="12">
        <f>SUMIFS(Events!$E$2:$E$10000,Events!$A$2:$A$10000,"&gt;="&amp;A122,Events!$A$2:$A$10000,"&lt;"&amp;EDATE(A122,1))</f>
        <v>0</v>
      </c>
      <c r="F122" s="12">
        <f>SUMIFS(Events!$F$2:$F$10000,Events!$A$2:$A$10000,"&gt;="&amp;A122,Events!$A$2:$A$10000,"&lt;"&amp;EDATE(A122,1))</f>
        <v>0</v>
      </c>
      <c r="G122" s="4"/>
    </row>
    <row r="123" spans="1:7" x14ac:dyDescent="0.2">
      <c r="A123" s="11">
        <v>43862</v>
      </c>
      <c r="B123" s="12">
        <f>COUNTIFS(Events!$A$2:$A$10000,"&gt;="&amp;A123,Events!$A$2:$A$10000,"&lt;"&amp;EDATE(A123,1))</f>
        <v>0</v>
      </c>
      <c r="C123" s="12">
        <f>SUMIFS(Events!$C$2:$C$10000,Events!$A$2:$A$10000,"&gt;="&amp;A123,Events!$A$2:$A$10000,"&lt;"&amp;EDATE(A123,1))</f>
        <v>0</v>
      </c>
      <c r="D123" s="12">
        <f>SUMIFS(Events!$D$2:$D$10000,Events!$A$2:$A$10000,"&gt;="&amp;A123,Events!$A$2:$A$10000,"&lt;"&amp;EDATE(A123,1))</f>
        <v>0</v>
      </c>
      <c r="E123" s="12">
        <f>SUMIFS(Events!$E$2:$E$10000,Events!$A$2:$A$10000,"&gt;="&amp;A123,Events!$A$2:$A$10000,"&lt;"&amp;EDATE(A123,1))</f>
        <v>0</v>
      </c>
      <c r="F123" s="12">
        <f>SUMIFS(Events!$F$2:$F$10000,Events!$A$2:$A$10000,"&gt;="&amp;A123,Events!$A$2:$A$10000,"&lt;"&amp;EDATE(A123,1))</f>
        <v>0</v>
      </c>
      <c r="G123" s="4"/>
    </row>
    <row r="124" spans="1:7" x14ac:dyDescent="0.2">
      <c r="A124" s="11">
        <v>43891</v>
      </c>
      <c r="B124" s="12">
        <f>COUNTIFS(Events!$A$2:$A$10000,"&gt;="&amp;A124,Events!$A$2:$A$10000,"&lt;"&amp;EDATE(A124,1))</f>
        <v>0</v>
      </c>
      <c r="C124" s="12">
        <f>SUMIFS(Events!$C$2:$C$10000,Events!$A$2:$A$10000,"&gt;="&amp;A124,Events!$A$2:$A$10000,"&lt;"&amp;EDATE(A124,1))</f>
        <v>0</v>
      </c>
      <c r="D124" s="12">
        <f>SUMIFS(Events!$D$2:$D$10000,Events!$A$2:$A$10000,"&gt;="&amp;A124,Events!$A$2:$A$10000,"&lt;"&amp;EDATE(A124,1))</f>
        <v>0</v>
      </c>
      <c r="E124" s="12">
        <f>SUMIFS(Events!$E$2:$E$10000,Events!$A$2:$A$10000,"&gt;="&amp;A124,Events!$A$2:$A$10000,"&lt;"&amp;EDATE(A124,1))</f>
        <v>0</v>
      </c>
      <c r="F124" s="12">
        <f>SUMIFS(Events!$F$2:$F$10000,Events!$A$2:$A$10000,"&gt;="&amp;A124,Events!$A$2:$A$10000,"&lt;"&amp;EDATE(A124,1))</f>
        <v>0</v>
      </c>
      <c r="G124" s="4"/>
    </row>
    <row r="125" spans="1:7" x14ac:dyDescent="0.2">
      <c r="A125" s="11">
        <v>43922</v>
      </c>
      <c r="B125" s="12">
        <f>COUNTIFS(Events!$A$2:$A$10000,"&gt;="&amp;A125,Events!$A$2:$A$10000,"&lt;"&amp;EDATE(A125,1))</f>
        <v>0</v>
      </c>
      <c r="C125" s="12">
        <f>SUMIFS(Events!$C$2:$C$10000,Events!$A$2:$A$10000,"&gt;="&amp;A125,Events!$A$2:$A$10000,"&lt;"&amp;EDATE(A125,1))</f>
        <v>0</v>
      </c>
      <c r="D125" s="12">
        <f>SUMIFS(Events!$D$2:$D$10000,Events!$A$2:$A$10000,"&gt;="&amp;A125,Events!$A$2:$A$10000,"&lt;"&amp;EDATE(A125,1))</f>
        <v>0</v>
      </c>
      <c r="E125" s="12">
        <f>SUMIFS(Events!$E$2:$E$10000,Events!$A$2:$A$10000,"&gt;="&amp;A125,Events!$A$2:$A$10000,"&lt;"&amp;EDATE(A125,1))</f>
        <v>0</v>
      </c>
      <c r="F125" s="12">
        <f>SUMIFS(Events!$F$2:$F$10000,Events!$A$2:$A$10000,"&gt;="&amp;A125,Events!$A$2:$A$10000,"&lt;"&amp;EDATE(A125,1))</f>
        <v>0</v>
      </c>
      <c r="G125" s="4"/>
    </row>
    <row r="126" spans="1:7" x14ac:dyDescent="0.2">
      <c r="A126" s="11">
        <v>43952</v>
      </c>
      <c r="B126" s="12">
        <f>COUNTIFS(Events!$A$2:$A$10000,"&gt;="&amp;A126,Events!$A$2:$A$10000,"&lt;"&amp;EDATE(A126,1))</f>
        <v>0</v>
      </c>
      <c r="C126" s="12">
        <f>SUMIFS(Events!$C$2:$C$10000,Events!$A$2:$A$10000,"&gt;="&amp;A126,Events!$A$2:$A$10000,"&lt;"&amp;EDATE(A126,1))</f>
        <v>0</v>
      </c>
      <c r="D126" s="12">
        <f>SUMIFS(Events!$D$2:$D$10000,Events!$A$2:$A$10000,"&gt;="&amp;A126,Events!$A$2:$A$10000,"&lt;"&amp;EDATE(A126,1))</f>
        <v>0</v>
      </c>
      <c r="E126" s="12">
        <f>SUMIFS(Events!$E$2:$E$10000,Events!$A$2:$A$10000,"&gt;="&amp;A126,Events!$A$2:$A$10000,"&lt;"&amp;EDATE(A126,1))</f>
        <v>0</v>
      </c>
      <c r="F126" s="12">
        <f>SUMIFS(Events!$F$2:$F$10000,Events!$A$2:$A$10000,"&gt;="&amp;A126,Events!$A$2:$A$10000,"&lt;"&amp;EDATE(A126,1))</f>
        <v>0</v>
      </c>
      <c r="G126" s="4"/>
    </row>
    <row r="127" spans="1:7" x14ac:dyDescent="0.2">
      <c r="A127" s="11">
        <v>43983</v>
      </c>
      <c r="B127" s="12">
        <f>COUNTIFS(Events!$A$2:$A$10000,"&gt;="&amp;A127,Events!$A$2:$A$10000,"&lt;"&amp;EDATE(A127,1))</f>
        <v>0</v>
      </c>
      <c r="C127" s="12">
        <f>SUMIFS(Events!$C$2:$C$10000,Events!$A$2:$A$10000,"&gt;="&amp;A127,Events!$A$2:$A$10000,"&lt;"&amp;EDATE(A127,1))</f>
        <v>0</v>
      </c>
      <c r="D127" s="12">
        <f>SUMIFS(Events!$D$2:$D$10000,Events!$A$2:$A$10000,"&gt;="&amp;A127,Events!$A$2:$A$10000,"&lt;"&amp;EDATE(A127,1))</f>
        <v>0</v>
      </c>
      <c r="E127" s="12">
        <f>SUMIFS(Events!$E$2:$E$10000,Events!$A$2:$A$10000,"&gt;="&amp;A127,Events!$A$2:$A$10000,"&lt;"&amp;EDATE(A127,1))</f>
        <v>0</v>
      </c>
      <c r="F127" s="12">
        <f>SUMIFS(Events!$F$2:$F$10000,Events!$A$2:$A$10000,"&gt;="&amp;A127,Events!$A$2:$A$10000,"&lt;"&amp;EDATE(A127,1))</f>
        <v>0</v>
      </c>
      <c r="G127" s="4"/>
    </row>
    <row r="128" spans="1:7" x14ac:dyDescent="0.2">
      <c r="A128" s="11">
        <v>44013</v>
      </c>
      <c r="B128" s="12">
        <f>COUNTIFS(Events!$A$2:$A$10000,"&gt;="&amp;A128,Events!$A$2:$A$10000,"&lt;"&amp;EDATE(A128,1))</f>
        <v>0</v>
      </c>
      <c r="C128" s="12">
        <f>SUMIFS(Events!$C$2:$C$10000,Events!$A$2:$A$10000,"&gt;="&amp;A128,Events!$A$2:$A$10000,"&lt;"&amp;EDATE(A128,1))</f>
        <v>0</v>
      </c>
      <c r="D128" s="12">
        <f>SUMIFS(Events!$D$2:$D$10000,Events!$A$2:$A$10000,"&gt;="&amp;A128,Events!$A$2:$A$10000,"&lt;"&amp;EDATE(A128,1))</f>
        <v>0</v>
      </c>
      <c r="E128" s="12">
        <f>SUMIFS(Events!$E$2:$E$10000,Events!$A$2:$A$10000,"&gt;="&amp;A128,Events!$A$2:$A$10000,"&lt;"&amp;EDATE(A128,1))</f>
        <v>0</v>
      </c>
      <c r="F128" s="12">
        <f>SUMIFS(Events!$F$2:$F$10000,Events!$A$2:$A$10000,"&gt;="&amp;A128,Events!$A$2:$A$10000,"&lt;"&amp;EDATE(A128,1))</f>
        <v>0</v>
      </c>
      <c r="G128" s="4"/>
    </row>
    <row r="129" spans="1:7" x14ac:dyDescent="0.2">
      <c r="A129" s="11">
        <v>44044</v>
      </c>
      <c r="B129" s="12">
        <f>COUNTIFS(Events!$A$2:$A$10000,"&gt;="&amp;A129,Events!$A$2:$A$10000,"&lt;"&amp;EDATE(A129,1))</f>
        <v>0</v>
      </c>
      <c r="C129" s="12">
        <f>SUMIFS(Events!$C$2:$C$10000,Events!$A$2:$A$10000,"&gt;="&amp;A129,Events!$A$2:$A$10000,"&lt;"&amp;EDATE(A129,1))</f>
        <v>0</v>
      </c>
      <c r="D129" s="12">
        <f>SUMIFS(Events!$D$2:$D$10000,Events!$A$2:$A$10000,"&gt;="&amp;A129,Events!$A$2:$A$10000,"&lt;"&amp;EDATE(A129,1))</f>
        <v>0</v>
      </c>
      <c r="E129" s="12">
        <f>SUMIFS(Events!$E$2:$E$10000,Events!$A$2:$A$10000,"&gt;="&amp;A129,Events!$A$2:$A$10000,"&lt;"&amp;EDATE(A129,1))</f>
        <v>0</v>
      </c>
      <c r="F129" s="12">
        <f>SUMIFS(Events!$F$2:$F$10000,Events!$A$2:$A$10000,"&gt;="&amp;A129,Events!$A$2:$A$10000,"&lt;"&amp;EDATE(A129,1))</f>
        <v>0</v>
      </c>
      <c r="G129" s="4"/>
    </row>
    <row r="130" spans="1:7" x14ac:dyDescent="0.2">
      <c r="A130" s="11">
        <v>44075</v>
      </c>
      <c r="B130" s="12">
        <f>COUNTIFS(Events!$A$2:$A$10000,"&gt;="&amp;A130,Events!$A$2:$A$10000,"&lt;"&amp;EDATE(A130,1))</f>
        <v>0</v>
      </c>
      <c r="C130" s="12">
        <f>SUMIFS(Events!$C$2:$C$10000,Events!$A$2:$A$10000,"&gt;="&amp;A130,Events!$A$2:$A$10000,"&lt;"&amp;EDATE(A130,1))</f>
        <v>0</v>
      </c>
      <c r="D130" s="12">
        <f>SUMIFS(Events!$D$2:$D$10000,Events!$A$2:$A$10000,"&gt;="&amp;A130,Events!$A$2:$A$10000,"&lt;"&amp;EDATE(A130,1))</f>
        <v>0</v>
      </c>
      <c r="E130" s="12">
        <f>SUMIFS(Events!$E$2:$E$10000,Events!$A$2:$A$10000,"&gt;="&amp;A130,Events!$A$2:$A$10000,"&lt;"&amp;EDATE(A130,1))</f>
        <v>0</v>
      </c>
      <c r="F130" s="12">
        <f>SUMIFS(Events!$F$2:$F$10000,Events!$A$2:$A$10000,"&gt;="&amp;A130,Events!$A$2:$A$10000,"&lt;"&amp;EDATE(A130,1))</f>
        <v>0</v>
      </c>
      <c r="G130" s="4"/>
    </row>
    <row r="131" spans="1:7" x14ac:dyDescent="0.2">
      <c r="A131" s="11">
        <v>44105</v>
      </c>
      <c r="B131" s="12">
        <f>COUNTIFS(Events!$A$2:$A$10000,"&gt;="&amp;A131,Events!$A$2:$A$10000,"&lt;"&amp;EDATE(A131,1))</f>
        <v>3</v>
      </c>
      <c r="C131" s="12">
        <f>SUMIFS(Events!$C$2:$C$10000,Events!$A$2:$A$10000,"&gt;="&amp;A131,Events!$A$2:$A$10000,"&lt;"&amp;EDATE(A131,1))</f>
        <v>3</v>
      </c>
      <c r="D131" s="12">
        <f>SUMIFS(Events!$D$2:$D$10000,Events!$A$2:$A$10000,"&gt;="&amp;A131,Events!$A$2:$A$10000,"&lt;"&amp;EDATE(A131,1))</f>
        <v>0</v>
      </c>
      <c r="E131" s="12">
        <f>SUMIFS(Events!$E$2:$E$10000,Events!$A$2:$A$10000,"&gt;="&amp;A131,Events!$A$2:$A$10000,"&lt;"&amp;EDATE(A131,1))</f>
        <v>0</v>
      </c>
      <c r="F131" s="12">
        <f>SUMIFS(Events!$F$2:$F$10000,Events!$A$2:$A$10000,"&gt;="&amp;A131,Events!$A$2:$A$10000,"&lt;"&amp;EDATE(A131,1))</f>
        <v>0</v>
      </c>
      <c r="G131" s="4"/>
    </row>
    <row r="132" spans="1:7" ht="30" customHeight="1" x14ac:dyDescent="0.2">
      <c r="A132" s="11">
        <v>44136</v>
      </c>
      <c r="B132" s="12">
        <f>COUNTIFS(Events!$A$2:$A$10000,"&gt;="&amp;A132,Events!$A$2:$A$10000,"&lt;"&amp;EDATE(A132,1))</f>
        <v>1</v>
      </c>
      <c r="C132" s="12">
        <f>SUMIFS(Events!$C$2:$C$10000,Events!$A$2:$A$10000,"&gt;="&amp;A132,Events!$A$2:$A$10000,"&lt;"&amp;EDATE(A132,1))</f>
        <v>0</v>
      </c>
      <c r="D132" s="12">
        <f>SUMIFS(Events!$D$2:$D$10000,Events!$A$2:$A$10000,"&gt;="&amp;A132,Events!$A$2:$A$10000,"&lt;"&amp;EDATE(A132,1))</f>
        <v>0</v>
      </c>
      <c r="E132" s="12">
        <f>SUMIFS(Events!$E$2:$E$10000,Events!$A$2:$A$10000,"&gt;="&amp;A132,Events!$A$2:$A$10000,"&lt;"&amp;EDATE(A132,1))</f>
        <v>1</v>
      </c>
      <c r="F132" s="12">
        <f>SUMIFS(Events!$F$2:$F$10000,Events!$A$2:$A$10000,"&gt;="&amp;A132,Events!$A$2:$A$10000,"&lt;"&amp;EDATE(A132,1))</f>
        <v>0</v>
      </c>
      <c r="G132" s="13" t="s">
        <v>539</v>
      </c>
    </row>
    <row r="133" spans="1:7" x14ac:dyDescent="0.2">
      <c r="A133" s="11">
        <v>44166</v>
      </c>
      <c r="B133" s="12">
        <f>COUNTIFS(Events!$A$2:$A$10000,"&gt;="&amp;A133,Events!$A$2:$A$10000,"&lt;"&amp;EDATE(A133,1))</f>
        <v>0</v>
      </c>
      <c r="C133" s="12">
        <f>SUMIFS(Events!$C$2:$C$10000,Events!$A$2:$A$10000,"&gt;="&amp;A133,Events!$A$2:$A$10000,"&lt;"&amp;EDATE(A133,1))</f>
        <v>0</v>
      </c>
      <c r="D133" s="12">
        <f>SUMIFS(Events!$D$2:$D$10000,Events!$A$2:$A$10000,"&gt;="&amp;A133,Events!$A$2:$A$10000,"&lt;"&amp;EDATE(A133,1))</f>
        <v>0</v>
      </c>
      <c r="E133" s="12">
        <f>SUMIFS(Events!$E$2:$E$10000,Events!$A$2:$A$10000,"&gt;="&amp;A133,Events!$A$2:$A$10000,"&lt;"&amp;EDATE(A133,1))</f>
        <v>0</v>
      </c>
      <c r="F133" s="12">
        <f>SUMIFS(Events!$F$2:$F$10000,Events!$A$2:$A$10000,"&gt;="&amp;A133,Events!$A$2:$A$10000,"&lt;"&amp;EDATE(A133,1))</f>
        <v>0</v>
      </c>
      <c r="G133" s="4"/>
    </row>
    <row r="134" spans="1:7" ht="30" customHeight="1" x14ac:dyDescent="0.2">
      <c r="A134" s="11">
        <v>44197</v>
      </c>
      <c r="B134" s="12">
        <f>COUNTIFS(Events!$A$2:$A$10000,"&gt;="&amp;A134,Events!$A$2:$A$10000,"&lt;"&amp;EDATE(A134,1))</f>
        <v>0</v>
      </c>
      <c r="C134" s="12">
        <f>SUMIFS(Events!$C$2:$C$10000,Events!$A$2:$A$10000,"&gt;="&amp;A134,Events!$A$2:$A$10000,"&lt;"&amp;EDATE(A134,1))</f>
        <v>0</v>
      </c>
      <c r="D134" s="12">
        <f>SUMIFS(Events!$D$2:$D$10000,Events!$A$2:$A$10000,"&gt;="&amp;A134,Events!$A$2:$A$10000,"&lt;"&amp;EDATE(A134,1))</f>
        <v>0</v>
      </c>
      <c r="E134" s="12">
        <f>SUMIFS(Events!$E$2:$E$10000,Events!$A$2:$A$10000,"&gt;="&amp;A134,Events!$A$2:$A$10000,"&lt;"&amp;EDATE(A134,1))</f>
        <v>0</v>
      </c>
      <c r="F134" s="12">
        <f>SUMIFS(Events!$F$2:$F$10000,Events!$A$2:$A$10000,"&gt;="&amp;A134,Events!$A$2:$A$10000,"&lt;"&amp;EDATE(A134,1))</f>
        <v>0</v>
      </c>
      <c r="G134" s="13" t="s">
        <v>540</v>
      </c>
    </row>
    <row r="135" spans="1:7" x14ac:dyDescent="0.2">
      <c r="A135" s="11">
        <v>44228</v>
      </c>
      <c r="B135" s="12">
        <f>COUNTIFS(Events!$A$2:$A$10000,"&gt;="&amp;A135,Events!$A$2:$A$10000,"&lt;"&amp;EDATE(A135,1))</f>
        <v>0</v>
      </c>
      <c r="C135" s="12">
        <f>SUMIFS(Events!$C$2:$C$10000,Events!$A$2:$A$10000,"&gt;="&amp;A135,Events!$A$2:$A$10000,"&lt;"&amp;EDATE(A135,1))</f>
        <v>0</v>
      </c>
      <c r="D135" s="12">
        <f>SUMIFS(Events!$D$2:$D$10000,Events!$A$2:$A$10000,"&gt;="&amp;A135,Events!$A$2:$A$10000,"&lt;"&amp;EDATE(A135,1))</f>
        <v>0</v>
      </c>
      <c r="E135" s="12">
        <f>SUMIFS(Events!$E$2:$E$10000,Events!$A$2:$A$10000,"&gt;="&amp;A135,Events!$A$2:$A$10000,"&lt;"&amp;EDATE(A135,1))</f>
        <v>0</v>
      </c>
      <c r="F135" s="12">
        <f>SUMIFS(Events!$F$2:$F$10000,Events!$A$2:$A$10000,"&gt;="&amp;A135,Events!$A$2:$A$10000,"&lt;"&amp;EDATE(A135,1))</f>
        <v>0</v>
      </c>
      <c r="G135" s="4"/>
    </row>
    <row r="136" spans="1:7" x14ac:dyDescent="0.2">
      <c r="A136" s="11">
        <v>44256</v>
      </c>
      <c r="B136" s="12">
        <f>COUNTIFS(Events!$A$2:$A$10000,"&gt;="&amp;A136,Events!$A$2:$A$10000,"&lt;"&amp;EDATE(A136,1))</f>
        <v>0</v>
      </c>
      <c r="C136" s="12">
        <f>SUMIFS(Events!$C$2:$C$10000,Events!$A$2:$A$10000,"&gt;="&amp;A136,Events!$A$2:$A$10000,"&lt;"&amp;EDATE(A136,1))</f>
        <v>0</v>
      </c>
      <c r="D136" s="12">
        <f>SUMIFS(Events!$D$2:$D$10000,Events!$A$2:$A$10000,"&gt;="&amp;A136,Events!$A$2:$A$10000,"&lt;"&amp;EDATE(A136,1))</f>
        <v>0</v>
      </c>
      <c r="E136" s="12">
        <f>SUMIFS(Events!$E$2:$E$10000,Events!$A$2:$A$10000,"&gt;="&amp;A136,Events!$A$2:$A$10000,"&lt;"&amp;EDATE(A136,1))</f>
        <v>0</v>
      </c>
      <c r="F136" s="12">
        <f>SUMIFS(Events!$F$2:$F$10000,Events!$A$2:$A$10000,"&gt;="&amp;A136,Events!$A$2:$A$10000,"&lt;"&amp;EDATE(A136,1))</f>
        <v>0</v>
      </c>
      <c r="G136" s="4"/>
    </row>
    <row r="137" spans="1:7" x14ac:dyDescent="0.2">
      <c r="A137" s="11">
        <v>44287</v>
      </c>
      <c r="B137" s="12">
        <f>COUNTIFS(Events!$A$2:$A$10000,"&gt;="&amp;A137,Events!$A$2:$A$10000,"&lt;"&amp;EDATE(A137,1))</f>
        <v>0</v>
      </c>
      <c r="C137" s="12">
        <f>SUMIFS(Events!$C$2:$C$10000,Events!$A$2:$A$10000,"&gt;="&amp;A137,Events!$A$2:$A$10000,"&lt;"&amp;EDATE(A137,1))</f>
        <v>0</v>
      </c>
      <c r="D137" s="12">
        <f>SUMIFS(Events!$D$2:$D$10000,Events!$A$2:$A$10000,"&gt;="&amp;A137,Events!$A$2:$A$10000,"&lt;"&amp;EDATE(A137,1))</f>
        <v>0</v>
      </c>
      <c r="E137" s="12">
        <f>SUMIFS(Events!$E$2:$E$10000,Events!$A$2:$A$10000,"&gt;="&amp;A137,Events!$A$2:$A$10000,"&lt;"&amp;EDATE(A137,1))</f>
        <v>0</v>
      </c>
      <c r="F137" s="12">
        <f>SUMIFS(Events!$F$2:$F$10000,Events!$A$2:$A$10000,"&gt;="&amp;A137,Events!$A$2:$A$10000,"&lt;"&amp;EDATE(A137,1))</f>
        <v>0</v>
      </c>
      <c r="G137" s="4"/>
    </row>
    <row r="138" spans="1:7" x14ac:dyDescent="0.2">
      <c r="A138" s="11">
        <v>44317</v>
      </c>
      <c r="B138" s="12">
        <f>COUNTIFS(Events!$A$2:$A$10000,"&gt;="&amp;A138,Events!$A$2:$A$10000,"&lt;"&amp;EDATE(A138,1))</f>
        <v>0</v>
      </c>
      <c r="C138" s="12">
        <f>SUMIFS(Events!$C$2:$C$10000,Events!$A$2:$A$10000,"&gt;="&amp;A138,Events!$A$2:$A$10000,"&lt;"&amp;EDATE(A138,1))</f>
        <v>0</v>
      </c>
      <c r="D138" s="12">
        <f>SUMIFS(Events!$D$2:$D$10000,Events!$A$2:$A$10000,"&gt;="&amp;A138,Events!$A$2:$A$10000,"&lt;"&amp;EDATE(A138,1))</f>
        <v>0</v>
      </c>
      <c r="E138" s="12">
        <f>SUMIFS(Events!$E$2:$E$10000,Events!$A$2:$A$10000,"&gt;="&amp;A138,Events!$A$2:$A$10000,"&lt;"&amp;EDATE(A138,1))</f>
        <v>0</v>
      </c>
      <c r="F138" s="12">
        <f>SUMIFS(Events!$F$2:$F$10000,Events!$A$2:$A$10000,"&gt;="&amp;A138,Events!$A$2:$A$10000,"&lt;"&amp;EDATE(A138,1))</f>
        <v>0</v>
      </c>
      <c r="G138" s="4"/>
    </row>
    <row r="139" spans="1:7" x14ac:dyDescent="0.2">
      <c r="A139" s="11">
        <v>44348</v>
      </c>
      <c r="B139" s="12">
        <f>COUNTIFS(Events!$A$2:$A$10000,"&gt;="&amp;A139,Events!$A$2:$A$10000,"&lt;"&amp;EDATE(A139,1))</f>
        <v>0</v>
      </c>
      <c r="C139" s="12">
        <f>SUMIFS(Events!$C$2:$C$10000,Events!$A$2:$A$10000,"&gt;="&amp;A139,Events!$A$2:$A$10000,"&lt;"&amp;EDATE(A139,1))</f>
        <v>0</v>
      </c>
      <c r="D139" s="12">
        <f>SUMIFS(Events!$D$2:$D$10000,Events!$A$2:$A$10000,"&gt;="&amp;A139,Events!$A$2:$A$10000,"&lt;"&amp;EDATE(A139,1))</f>
        <v>0</v>
      </c>
      <c r="E139" s="12">
        <f>SUMIFS(Events!$E$2:$E$10000,Events!$A$2:$A$10000,"&gt;="&amp;A139,Events!$A$2:$A$10000,"&lt;"&amp;EDATE(A139,1))</f>
        <v>0</v>
      </c>
      <c r="F139" s="12">
        <f>SUMIFS(Events!$F$2:$F$10000,Events!$A$2:$A$10000,"&gt;="&amp;A139,Events!$A$2:$A$10000,"&lt;"&amp;EDATE(A139,1))</f>
        <v>0</v>
      </c>
      <c r="G139" s="4"/>
    </row>
    <row r="140" spans="1:7" x14ac:dyDescent="0.2">
      <c r="A140" s="11">
        <v>44378</v>
      </c>
      <c r="B140" s="12">
        <f>COUNTIFS(Events!$A$2:$A$10000,"&gt;="&amp;A140,Events!$A$2:$A$10000,"&lt;"&amp;EDATE(A140,1))</f>
        <v>2</v>
      </c>
      <c r="C140" s="12">
        <f>SUMIFS(Events!$C$2:$C$10000,Events!$A$2:$A$10000,"&gt;="&amp;A140,Events!$A$2:$A$10000,"&lt;"&amp;EDATE(A140,1))</f>
        <v>2</v>
      </c>
      <c r="D140" s="12">
        <f>SUMIFS(Events!$D$2:$D$10000,Events!$A$2:$A$10000,"&gt;="&amp;A140,Events!$A$2:$A$10000,"&lt;"&amp;EDATE(A140,1))</f>
        <v>0</v>
      </c>
      <c r="E140" s="12">
        <f>SUMIFS(Events!$E$2:$E$10000,Events!$A$2:$A$10000,"&gt;="&amp;A140,Events!$A$2:$A$10000,"&lt;"&amp;EDATE(A140,1))</f>
        <v>0</v>
      </c>
      <c r="F140" s="12">
        <f>SUMIFS(Events!$F$2:$F$10000,Events!$A$2:$A$10000,"&gt;="&amp;A140,Events!$A$2:$A$10000,"&lt;"&amp;EDATE(A140,1))</f>
        <v>0</v>
      </c>
      <c r="G140" s="4"/>
    </row>
    <row r="141" spans="1:7" x14ac:dyDescent="0.2">
      <c r="A141" s="11">
        <v>44409</v>
      </c>
      <c r="B141" s="12">
        <f>COUNTIFS(Events!$A$2:$A$10000,"&gt;="&amp;A141,Events!$A$2:$A$10000,"&lt;"&amp;EDATE(A141,1))</f>
        <v>0</v>
      </c>
      <c r="C141" s="12">
        <f>SUMIFS(Events!$C$2:$C$10000,Events!$A$2:$A$10000,"&gt;="&amp;A141,Events!$A$2:$A$10000,"&lt;"&amp;EDATE(A141,1))</f>
        <v>0</v>
      </c>
      <c r="D141" s="12">
        <f>SUMIFS(Events!$D$2:$D$10000,Events!$A$2:$A$10000,"&gt;="&amp;A141,Events!$A$2:$A$10000,"&lt;"&amp;EDATE(A141,1))</f>
        <v>0</v>
      </c>
      <c r="E141" s="12">
        <f>SUMIFS(Events!$E$2:$E$10000,Events!$A$2:$A$10000,"&gt;="&amp;A141,Events!$A$2:$A$10000,"&lt;"&amp;EDATE(A141,1))</f>
        <v>0</v>
      </c>
      <c r="F141" s="12">
        <f>SUMIFS(Events!$F$2:$F$10000,Events!$A$2:$A$10000,"&gt;="&amp;A141,Events!$A$2:$A$10000,"&lt;"&amp;EDATE(A141,1))</f>
        <v>0</v>
      </c>
      <c r="G141" s="4"/>
    </row>
    <row r="142" spans="1:7" x14ac:dyDescent="0.2">
      <c r="A142" s="11">
        <v>44440</v>
      </c>
      <c r="B142" s="12">
        <f>COUNTIFS(Events!$A$2:$A$10000,"&gt;="&amp;A142,Events!$A$2:$A$10000,"&lt;"&amp;EDATE(A142,1))</f>
        <v>0</v>
      </c>
      <c r="C142" s="12">
        <f>SUMIFS(Events!$C$2:$C$10000,Events!$A$2:$A$10000,"&gt;="&amp;A142,Events!$A$2:$A$10000,"&lt;"&amp;EDATE(A142,1))</f>
        <v>0</v>
      </c>
      <c r="D142" s="12">
        <f>SUMIFS(Events!$D$2:$D$10000,Events!$A$2:$A$10000,"&gt;="&amp;A142,Events!$A$2:$A$10000,"&lt;"&amp;EDATE(A142,1))</f>
        <v>0</v>
      </c>
      <c r="E142" s="12">
        <f>SUMIFS(Events!$E$2:$E$10000,Events!$A$2:$A$10000,"&gt;="&amp;A142,Events!$A$2:$A$10000,"&lt;"&amp;EDATE(A142,1))</f>
        <v>0</v>
      </c>
      <c r="F142" s="12">
        <f>SUMIFS(Events!$F$2:$F$10000,Events!$A$2:$A$10000,"&gt;="&amp;A142,Events!$A$2:$A$10000,"&lt;"&amp;EDATE(A142,1))</f>
        <v>0</v>
      </c>
      <c r="G142" s="4"/>
    </row>
    <row r="143" spans="1:7" x14ac:dyDescent="0.2">
      <c r="A143" s="11">
        <v>44470</v>
      </c>
      <c r="B143" s="12">
        <f>COUNTIFS(Events!$A$2:$A$10000,"&gt;="&amp;A143,Events!$A$2:$A$10000,"&lt;"&amp;EDATE(A143,1))</f>
        <v>1</v>
      </c>
      <c r="C143" s="12">
        <f>SUMIFS(Events!$C$2:$C$10000,Events!$A$2:$A$10000,"&gt;="&amp;A143,Events!$A$2:$A$10000,"&lt;"&amp;EDATE(A143,1))</f>
        <v>1</v>
      </c>
      <c r="D143" s="12">
        <f>SUMIFS(Events!$D$2:$D$10000,Events!$A$2:$A$10000,"&gt;="&amp;A143,Events!$A$2:$A$10000,"&lt;"&amp;EDATE(A143,1))</f>
        <v>0</v>
      </c>
      <c r="E143" s="12">
        <f>SUMIFS(Events!$E$2:$E$10000,Events!$A$2:$A$10000,"&gt;="&amp;A143,Events!$A$2:$A$10000,"&lt;"&amp;EDATE(A143,1))</f>
        <v>0</v>
      </c>
      <c r="F143" s="12">
        <f>SUMIFS(Events!$F$2:$F$10000,Events!$A$2:$A$10000,"&gt;="&amp;A143,Events!$A$2:$A$10000,"&lt;"&amp;EDATE(A143,1))</f>
        <v>0</v>
      </c>
      <c r="G143" s="4"/>
    </row>
    <row r="144" spans="1:7" x14ac:dyDescent="0.2">
      <c r="A144" s="11">
        <v>44501</v>
      </c>
      <c r="B144" s="12">
        <f>COUNTIFS(Events!$A$2:$A$10000,"&gt;="&amp;A144,Events!$A$2:$A$10000,"&lt;"&amp;EDATE(A144,1))</f>
        <v>0</v>
      </c>
      <c r="C144" s="12">
        <f>SUMIFS(Events!$C$2:$C$10000,Events!$A$2:$A$10000,"&gt;="&amp;A144,Events!$A$2:$A$10000,"&lt;"&amp;EDATE(A144,1))</f>
        <v>0</v>
      </c>
      <c r="D144" s="12">
        <f>SUMIFS(Events!$D$2:$D$10000,Events!$A$2:$A$10000,"&gt;="&amp;A144,Events!$A$2:$A$10000,"&lt;"&amp;EDATE(A144,1))</f>
        <v>0</v>
      </c>
      <c r="E144" s="12">
        <f>SUMIFS(Events!$E$2:$E$10000,Events!$A$2:$A$10000,"&gt;="&amp;A144,Events!$A$2:$A$10000,"&lt;"&amp;EDATE(A144,1))</f>
        <v>0</v>
      </c>
      <c r="F144" s="12">
        <f>SUMIFS(Events!$F$2:$F$10000,Events!$A$2:$A$10000,"&gt;="&amp;A144,Events!$A$2:$A$10000,"&lt;"&amp;EDATE(A144,1))</f>
        <v>0</v>
      </c>
      <c r="G144" s="4"/>
    </row>
    <row r="145" spans="1:7" x14ac:dyDescent="0.2">
      <c r="A145" s="11">
        <v>44531</v>
      </c>
      <c r="B145" s="12">
        <f>COUNTIFS(Events!$A$2:$A$10000,"&gt;="&amp;A145,Events!$A$2:$A$10000,"&lt;"&amp;EDATE(A145,1))</f>
        <v>0</v>
      </c>
      <c r="C145" s="12">
        <f>SUMIFS(Events!$C$2:$C$10000,Events!$A$2:$A$10000,"&gt;="&amp;A145,Events!$A$2:$A$10000,"&lt;"&amp;EDATE(A145,1))</f>
        <v>0</v>
      </c>
      <c r="D145" s="12">
        <f>SUMIFS(Events!$D$2:$D$10000,Events!$A$2:$A$10000,"&gt;="&amp;A145,Events!$A$2:$A$10000,"&lt;"&amp;EDATE(A145,1))</f>
        <v>0</v>
      </c>
      <c r="E145" s="12">
        <f>SUMIFS(Events!$E$2:$E$10000,Events!$A$2:$A$10000,"&gt;="&amp;A145,Events!$A$2:$A$10000,"&lt;"&amp;EDATE(A145,1))</f>
        <v>0</v>
      </c>
      <c r="F145" s="12">
        <f>SUMIFS(Events!$F$2:$F$10000,Events!$A$2:$A$10000,"&gt;="&amp;A145,Events!$A$2:$A$10000,"&lt;"&amp;EDATE(A145,1))</f>
        <v>0</v>
      </c>
      <c r="G145" s="4"/>
    </row>
    <row r="146" spans="1:7" x14ac:dyDescent="0.2">
      <c r="A146" s="11">
        <v>44562</v>
      </c>
      <c r="B146" s="12">
        <f>COUNTIFS(Events!$A$2:$A$10000,"&gt;="&amp;A146,Events!$A$2:$A$10000,"&lt;"&amp;EDATE(A146,1))</f>
        <v>0</v>
      </c>
      <c r="C146" s="12">
        <f>SUMIFS(Events!$C$2:$C$10000,Events!$A$2:$A$10000,"&gt;="&amp;A146,Events!$A$2:$A$10000,"&lt;"&amp;EDATE(A146,1))</f>
        <v>0</v>
      </c>
      <c r="D146" s="12">
        <f>SUMIFS(Events!$D$2:$D$10000,Events!$A$2:$A$10000,"&gt;="&amp;A146,Events!$A$2:$A$10000,"&lt;"&amp;EDATE(A146,1))</f>
        <v>0</v>
      </c>
      <c r="E146" s="12">
        <f>SUMIFS(Events!$E$2:$E$10000,Events!$A$2:$A$10000,"&gt;="&amp;A146,Events!$A$2:$A$10000,"&lt;"&amp;EDATE(A146,1))</f>
        <v>0</v>
      </c>
      <c r="F146" s="12">
        <f>SUMIFS(Events!$F$2:$F$10000,Events!$A$2:$A$10000,"&gt;="&amp;A146,Events!$A$2:$A$10000,"&lt;"&amp;EDATE(A146,1))</f>
        <v>0</v>
      </c>
      <c r="G146" s="4"/>
    </row>
    <row r="147" spans="1:7" x14ac:dyDescent="0.2">
      <c r="A147" s="11">
        <v>44593</v>
      </c>
      <c r="B147" s="12">
        <f>COUNTIFS(Events!$A$2:$A$10000,"&gt;="&amp;A147,Events!$A$2:$A$10000,"&lt;"&amp;EDATE(A147,1))</f>
        <v>0</v>
      </c>
      <c r="C147" s="12">
        <f>SUMIFS(Events!$C$2:$C$10000,Events!$A$2:$A$10000,"&gt;="&amp;A147,Events!$A$2:$A$10000,"&lt;"&amp;EDATE(A147,1))</f>
        <v>0</v>
      </c>
      <c r="D147" s="12">
        <f>SUMIFS(Events!$D$2:$D$10000,Events!$A$2:$A$10000,"&gt;="&amp;A147,Events!$A$2:$A$10000,"&lt;"&amp;EDATE(A147,1))</f>
        <v>0</v>
      </c>
      <c r="E147" s="12">
        <f>SUMIFS(Events!$E$2:$E$10000,Events!$A$2:$A$10000,"&gt;="&amp;A147,Events!$A$2:$A$10000,"&lt;"&amp;EDATE(A147,1))</f>
        <v>0</v>
      </c>
      <c r="F147" s="12">
        <f>SUMIFS(Events!$F$2:$F$10000,Events!$A$2:$A$10000,"&gt;="&amp;A147,Events!$A$2:$A$10000,"&lt;"&amp;EDATE(A147,1))</f>
        <v>0</v>
      </c>
      <c r="G147" s="4"/>
    </row>
    <row r="148" spans="1:7" x14ac:dyDescent="0.2">
      <c r="A148" s="11">
        <v>44621</v>
      </c>
      <c r="B148" s="12">
        <f>COUNTIFS(Events!$A$2:$A$10000,"&gt;="&amp;A148,Events!$A$2:$A$10000,"&lt;"&amp;EDATE(A148,1))</f>
        <v>0</v>
      </c>
      <c r="C148" s="12">
        <f>SUMIFS(Events!$C$2:$C$10000,Events!$A$2:$A$10000,"&gt;="&amp;A148,Events!$A$2:$A$10000,"&lt;"&amp;EDATE(A148,1))</f>
        <v>0</v>
      </c>
      <c r="D148" s="12">
        <f>SUMIFS(Events!$D$2:$D$10000,Events!$A$2:$A$10000,"&gt;="&amp;A148,Events!$A$2:$A$10000,"&lt;"&amp;EDATE(A148,1))</f>
        <v>0</v>
      </c>
      <c r="E148" s="12">
        <f>SUMIFS(Events!$E$2:$E$10000,Events!$A$2:$A$10000,"&gt;="&amp;A148,Events!$A$2:$A$10000,"&lt;"&amp;EDATE(A148,1))</f>
        <v>0</v>
      </c>
      <c r="F148" s="12">
        <f>SUMIFS(Events!$F$2:$F$10000,Events!$A$2:$A$10000,"&gt;="&amp;A148,Events!$A$2:$A$10000,"&lt;"&amp;EDATE(A148,1))</f>
        <v>0</v>
      </c>
      <c r="G148" s="4"/>
    </row>
    <row r="149" spans="1:7" x14ac:dyDescent="0.2">
      <c r="A149" s="11">
        <v>44652</v>
      </c>
      <c r="B149" s="12">
        <f>COUNTIFS(Events!$A$2:$A$10000,"&gt;="&amp;A149,Events!$A$2:$A$10000,"&lt;"&amp;EDATE(A149,1))</f>
        <v>0</v>
      </c>
      <c r="C149" s="12">
        <f>SUMIFS(Events!$C$2:$C$10000,Events!$A$2:$A$10000,"&gt;="&amp;A149,Events!$A$2:$A$10000,"&lt;"&amp;EDATE(A149,1))</f>
        <v>0</v>
      </c>
      <c r="D149" s="12">
        <f>SUMIFS(Events!$D$2:$D$10000,Events!$A$2:$A$10000,"&gt;="&amp;A149,Events!$A$2:$A$10000,"&lt;"&amp;EDATE(A149,1))</f>
        <v>0</v>
      </c>
      <c r="E149" s="12">
        <f>SUMIFS(Events!$E$2:$E$10000,Events!$A$2:$A$10000,"&gt;="&amp;A149,Events!$A$2:$A$10000,"&lt;"&amp;EDATE(A149,1))</f>
        <v>0</v>
      </c>
      <c r="F149" s="12">
        <f>SUMIFS(Events!$F$2:$F$10000,Events!$A$2:$A$10000,"&gt;="&amp;A149,Events!$A$2:$A$10000,"&lt;"&amp;EDATE(A149,1))</f>
        <v>0</v>
      </c>
      <c r="G149" s="4"/>
    </row>
    <row r="150" spans="1:7" x14ac:dyDescent="0.2">
      <c r="A150" s="11">
        <v>44682</v>
      </c>
      <c r="B150" s="12">
        <f>COUNTIFS(Events!$A$2:$A$10000,"&gt;="&amp;A150,Events!$A$2:$A$10000,"&lt;"&amp;EDATE(A150,1))</f>
        <v>0</v>
      </c>
      <c r="C150" s="12">
        <f>SUMIFS(Events!$C$2:$C$10000,Events!$A$2:$A$10000,"&gt;="&amp;A150,Events!$A$2:$A$10000,"&lt;"&amp;EDATE(A150,1))</f>
        <v>0</v>
      </c>
      <c r="D150" s="12">
        <f>SUMIFS(Events!$D$2:$D$10000,Events!$A$2:$A$10000,"&gt;="&amp;A150,Events!$A$2:$A$10000,"&lt;"&amp;EDATE(A150,1))</f>
        <v>0</v>
      </c>
      <c r="E150" s="12">
        <f>SUMIFS(Events!$E$2:$E$10000,Events!$A$2:$A$10000,"&gt;="&amp;A150,Events!$A$2:$A$10000,"&lt;"&amp;EDATE(A150,1))</f>
        <v>0</v>
      </c>
      <c r="F150" s="12">
        <f>SUMIFS(Events!$F$2:$F$10000,Events!$A$2:$A$10000,"&gt;="&amp;A150,Events!$A$2:$A$10000,"&lt;"&amp;EDATE(A150,1))</f>
        <v>0</v>
      </c>
      <c r="G150" s="4"/>
    </row>
    <row r="151" spans="1:7" x14ac:dyDescent="0.2">
      <c r="A151" s="11">
        <v>44713</v>
      </c>
      <c r="B151" s="12">
        <f>COUNTIFS(Events!$A$2:$A$10000,"&gt;="&amp;A151,Events!$A$2:$A$10000,"&lt;"&amp;EDATE(A151,1))</f>
        <v>0</v>
      </c>
      <c r="C151" s="12">
        <f>SUMIFS(Events!$C$2:$C$10000,Events!$A$2:$A$10000,"&gt;="&amp;A151,Events!$A$2:$A$10000,"&lt;"&amp;EDATE(A151,1))</f>
        <v>0</v>
      </c>
      <c r="D151" s="12">
        <f>SUMIFS(Events!$D$2:$D$10000,Events!$A$2:$A$10000,"&gt;="&amp;A151,Events!$A$2:$A$10000,"&lt;"&amp;EDATE(A151,1))</f>
        <v>0</v>
      </c>
      <c r="E151" s="12">
        <f>SUMIFS(Events!$E$2:$E$10000,Events!$A$2:$A$10000,"&gt;="&amp;A151,Events!$A$2:$A$10000,"&lt;"&amp;EDATE(A151,1))</f>
        <v>0</v>
      </c>
      <c r="F151" s="12">
        <f>SUMIFS(Events!$F$2:$F$10000,Events!$A$2:$A$10000,"&gt;="&amp;A151,Events!$A$2:$A$10000,"&lt;"&amp;EDATE(A151,1))</f>
        <v>0</v>
      </c>
      <c r="G151" s="4"/>
    </row>
    <row r="152" spans="1:7" x14ac:dyDescent="0.2">
      <c r="A152" s="11">
        <v>44743</v>
      </c>
      <c r="B152" s="12">
        <f>COUNTIFS(Events!$A$2:$A$10000,"&gt;="&amp;A152,Events!$A$2:$A$10000,"&lt;"&amp;EDATE(A152,1))</f>
        <v>0</v>
      </c>
      <c r="C152" s="12">
        <f>SUMIFS(Events!$C$2:$C$10000,Events!$A$2:$A$10000,"&gt;="&amp;A152,Events!$A$2:$A$10000,"&lt;"&amp;EDATE(A152,1))</f>
        <v>0</v>
      </c>
      <c r="D152" s="12">
        <f>SUMIFS(Events!$D$2:$D$10000,Events!$A$2:$A$10000,"&gt;="&amp;A152,Events!$A$2:$A$10000,"&lt;"&amp;EDATE(A152,1))</f>
        <v>0</v>
      </c>
      <c r="E152" s="12">
        <f>SUMIFS(Events!$E$2:$E$10000,Events!$A$2:$A$10000,"&gt;="&amp;A152,Events!$A$2:$A$10000,"&lt;"&amp;EDATE(A152,1))</f>
        <v>0</v>
      </c>
      <c r="F152" s="12">
        <f>SUMIFS(Events!$F$2:$F$10000,Events!$A$2:$A$10000,"&gt;="&amp;A152,Events!$A$2:$A$10000,"&lt;"&amp;EDATE(A152,1))</f>
        <v>0</v>
      </c>
      <c r="G152" s="4"/>
    </row>
    <row r="153" spans="1:7" x14ac:dyDescent="0.2">
      <c r="A153" s="11">
        <v>44774</v>
      </c>
      <c r="B153" s="12">
        <f>COUNTIFS(Events!$A$2:$A$10000,"&gt;="&amp;A153,Events!$A$2:$A$10000,"&lt;"&amp;EDATE(A153,1))</f>
        <v>0</v>
      </c>
      <c r="C153" s="12">
        <f>SUMIFS(Events!$C$2:$C$10000,Events!$A$2:$A$10000,"&gt;="&amp;A153,Events!$A$2:$A$10000,"&lt;"&amp;EDATE(A153,1))</f>
        <v>0</v>
      </c>
      <c r="D153" s="12">
        <f>SUMIFS(Events!$D$2:$D$10000,Events!$A$2:$A$10000,"&gt;="&amp;A153,Events!$A$2:$A$10000,"&lt;"&amp;EDATE(A153,1))</f>
        <v>0</v>
      </c>
      <c r="E153" s="12">
        <f>SUMIFS(Events!$E$2:$E$10000,Events!$A$2:$A$10000,"&gt;="&amp;A153,Events!$A$2:$A$10000,"&lt;"&amp;EDATE(A153,1))</f>
        <v>0</v>
      </c>
      <c r="F153" s="12">
        <f>SUMIFS(Events!$F$2:$F$10000,Events!$A$2:$A$10000,"&gt;="&amp;A153,Events!$A$2:$A$10000,"&lt;"&amp;EDATE(A153,1))</f>
        <v>0</v>
      </c>
      <c r="G153" s="4"/>
    </row>
    <row r="154" spans="1:7" x14ac:dyDescent="0.2">
      <c r="A154" s="11">
        <v>44805</v>
      </c>
      <c r="B154" s="12">
        <f>COUNTIFS(Events!$A$2:$A$10000,"&gt;="&amp;A154,Events!$A$2:$A$10000,"&lt;"&amp;EDATE(A154,1))</f>
        <v>0</v>
      </c>
      <c r="C154" s="12">
        <f>SUMIFS(Events!$C$2:$C$10000,Events!$A$2:$A$10000,"&gt;="&amp;A154,Events!$A$2:$A$10000,"&lt;"&amp;EDATE(A154,1))</f>
        <v>0</v>
      </c>
      <c r="D154" s="12">
        <f>SUMIFS(Events!$D$2:$D$10000,Events!$A$2:$A$10000,"&gt;="&amp;A154,Events!$A$2:$A$10000,"&lt;"&amp;EDATE(A154,1))</f>
        <v>0</v>
      </c>
      <c r="E154" s="12">
        <f>SUMIFS(Events!$E$2:$E$10000,Events!$A$2:$A$10000,"&gt;="&amp;A154,Events!$A$2:$A$10000,"&lt;"&amp;EDATE(A154,1))</f>
        <v>0</v>
      </c>
      <c r="F154" s="12">
        <f>SUMIFS(Events!$F$2:$F$10000,Events!$A$2:$A$10000,"&gt;="&amp;A154,Events!$A$2:$A$10000,"&lt;"&amp;EDATE(A154,1))</f>
        <v>0</v>
      </c>
      <c r="G154" s="4"/>
    </row>
    <row r="155" spans="1:7" ht="30" customHeight="1" x14ac:dyDescent="0.2">
      <c r="A155" s="11">
        <v>44835</v>
      </c>
      <c r="B155" s="12">
        <f>COUNTIFS(Events!$A$2:$A$10000,"&gt;="&amp;A155,Events!$A$2:$A$10000,"&lt;"&amp;EDATE(A155,1))</f>
        <v>0</v>
      </c>
      <c r="C155" s="12">
        <f>SUMIFS(Events!$C$2:$C$10000,Events!$A$2:$A$10000,"&gt;="&amp;A155,Events!$A$2:$A$10000,"&lt;"&amp;EDATE(A155,1))</f>
        <v>0</v>
      </c>
      <c r="D155" s="12">
        <f>SUMIFS(Events!$D$2:$D$10000,Events!$A$2:$A$10000,"&gt;="&amp;A155,Events!$A$2:$A$10000,"&lt;"&amp;EDATE(A155,1))</f>
        <v>0</v>
      </c>
      <c r="E155" s="12">
        <f>SUMIFS(Events!$E$2:$E$10000,Events!$A$2:$A$10000,"&gt;="&amp;A155,Events!$A$2:$A$10000,"&lt;"&amp;EDATE(A155,1))</f>
        <v>0</v>
      </c>
      <c r="F155" s="12">
        <f>SUMIFS(Events!$F$2:$F$10000,Events!$A$2:$A$10000,"&gt;="&amp;A155,Events!$A$2:$A$10000,"&lt;"&amp;EDATE(A155,1))</f>
        <v>0</v>
      </c>
      <c r="G155" s="13" t="s">
        <v>541</v>
      </c>
    </row>
    <row r="156" spans="1:7" x14ac:dyDescent="0.2">
      <c r="A156" s="11">
        <v>44866</v>
      </c>
      <c r="B156" s="12">
        <f>COUNTIFS(Events!$A$2:$A$10000,"&gt;="&amp;A156,Events!$A$2:$A$10000,"&lt;"&amp;EDATE(A156,1))</f>
        <v>0</v>
      </c>
      <c r="C156" s="12">
        <f>SUMIFS(Events!$C$2:$C$10000,Events!$A$2:$A$10000,"&gt;="&amp;A156,Events!$A$2:$A$10000,"&lt;"&amp;EDATE(A156,1))</f>
        <v>0</v>
      </c>
      <c r="D156" s="12">
        <f>SUMIFS(Events!$D$2:$D$10000,Events!$A$2:$A$10000,"&gt;="&amp;A156,Events!$A$2:$A$10000,"&lt;"&amp;EDATE(A156,1))</f>
        <v>0</v>
      </c>
      <c r="E156" s="12">
        <f>SUMIFS(Events!$E$2:$E$10000,Events!$A$2:$A$10000,"&gt;="&amp;A156,Events!$A$2:$A$10000,"&lt;"&amp;EDATE(A156,1))</f>
        <v>0</v>
      </c>
      <c r="F156" s="12">
        <f>SUMIFS(Events!$F$2:$F$10000,Events!$A$2:$A$10000,"&gt;="&amp;A156,Events!$A$2:$A$10000,"&lt;"&amp;EDATE(A156,1))</f>
        <v>0</v>
      </c>
      <c r="G156" s="4"/>
    </row>
    <row r="157" spans="1:7" x14ac:dyDescent="0.2">
      <c r="A157" s="11">
        <v>44896</v>
      </c>
      <c r="B157" s="12">
        <f>COUNTIFS(Events!$A$2:$A$10000,"&gt;="&amp;A157,Events!$A$2:$A$10000,"&lt;"&amp;EDATE(A157,1))</f>
        <v>0</v>
      </c>
      <c r="C157" s="12">
        <f>SUMIFS(Events!$C$2:$C$10000,Events!$A$2:$A$10000,"&gt;="&amp;A157,Events!$A$2:$A$10000,"&lt;"&amp;EDATE(A157,1))</f>
        <v>0</v>
      </c>
      <c r="D157" s="12">
        <f>SUMIFS(Events!$D$2:$D$10000,Events!$A$2:$A$10000,"&gt;="&amp;A157,Events!$A$2:$A$10000,"&lt;"&amp;EDATE(A157,1))</f>
        <v>0</v>
      </c>
      <c r="E157" s="12">
        <f>SUMIFS(Events!$E$2:$E$10000,Events!$A$2:$A$10000,"&gt;="&amp;A157,Events!$A$2:$A$10000,"&lt;"&amp;EDATE(A157,1))</f>
        <v>0</v>
      </c>
      <c r="F157" s="12">
        <f>SUMIFS(Events!$F$2:$F$10000,Events!$A$2:$A$10000,"&gt;="&amp;A157,Events!$A$2:$A$10000,"&lt;"&amp;EDATE(A157,1))</f>
        <v>0</v>
      </c>
      <c r="G157" s="4"/>
    </row>
    <row r="158" spans="1:7" x14ac:dyDescent="0.2">
      <c r="A158" s="11">
        <v>44927</v>
      </c>
      <c r="B158" s="12">
        <f>COUNTIFS(Events!$A$2:$A$10000,"&gt;="&amp;A158,Events!$A$2:$A$10000,"&lt;"&amp;EDATE(A158,1))</f>
        <v>0</v>
      </c>
      <c r="C158" s="12">
        <f>SUMIFS(Events!$C$2:$C$10000,Events!$A$2:$A$10000,"&gt;="&amp;A158,Events!$A$2:$A$10000,"&lt;"&amp;EDATE(A158,1))</f>
        <v>0</v>
      </c>
      <c r="D158" s="12">
        <f>SUMIFS(Events!$D$2:$D$10000,Events!$A$2:$A$10000,"&gt;="&amp;A158,Events!$A$2:$A$10000,"&lt;"&amp;EDATE(A158,1))</f>
        <v>0</v>
      </c>
      <c r="E158" s="12">
        <f>SUMIFS(Events!$E$2:$E$10000,Events!$A$2:$A$10000,"&gt;="&amp;A158,Events!$A$2:$A$10000,"&lt;"&amp;EDATE(A158,1))</f>
        <v>0</v>
      </c>
      <c r="F158" s="12">
        <f>SUMIFS(Events!$F$2:$F$10000,Events!$A$2:$A$10000,"&gt;="&amp;A158,Events!$A$2:$A$10000,"&lt;"&amp;EDATE(A158,1))</f>
        <v>0</v>
      </c>
      <c r="G158" s="4"/>
    </row>
    <row r="159" spans="1:7" x14ac:dyDescent="0.2">
      <c r="A159" s="11">
        <v>44958</v>
      </c>
      <c r="B159" s="12">
        <f>COUNTIFS(Events!$A$2:$A$10000,"&gt;="&amp;A159,Events!$A$2:$A$10000,"&lt;"&amp;EDATE(A159,1))</f>
        <v>0</v>
      </c>
      <c r="C159" s="12">
        <f>SUMIFS(Events!$C$2:$C$10000,Events!$A$2:$A$10000,"&gt;="&amp;A159,Events!$A$2:$A$10000,"&lt;"&amp;EDATE(A159,1))</f>
        <v>0</v>
      </c>
      <c r="D159" s="12">
        <f>SUMIFS(Events!$D$2:$D$10000,Events!$A$2:$A$10000,"&gt;="&amp;A159,Events!$A$2:$A$10000,"&lt;"&amp;EDATE(A159,1))</f>
        <v>0</v>
      </c>
      <c r="E159" s="12">
        <f>SUMIFS(Events!$E$2:$E$10000,Events!$A$2:$A$10000,"&gt;="&amp;A159,Events!$A$2:$A$10000,"&lt;"&amp;EDATE(A159,1))</f>
        <v>0</v>
      </c>
      <c r="F159" s="12">
        <f>SUMIFS(Events!$F$2:$F$10000,Events!$A$2:$A$10000,"&gt;="&amp;A159,Events!$A$2:$A$10000,"&lt;"&amp;EDATE(A159,1))</f>
        <v>0</v>
      </c>
      <c r="G159" s="4"/>
    </row>
    <row r="160" spans="1:7" x14ac:dyDescent="0.2">
      <c r="A160" s="11">
        <v>44986</v>
      </c>
      <c r="B160" s="12">
        <f>COUNTIFS(Events!$A$2:$A$10000,"&gt;="&amp;A160,Events!$A$2:$A$10000,"&lt;"&amp;EDATE(A160,1))</f>
        <v>1</v>
      </c>
      <c r="C160" s="12">
        <f>SUMIFS(Events!$C$2:$C$10000,Events!$A$2:$A$10000,"&gt;="&amp;A160,Events!$A$2:$A$10000,"&lt;"&amp;EDATE(A160,1))</f>
        <v>1</v>
      </c>
      <c r="D160" s="12">
        <f>SUMIFS(Events!$D$2:$D$10000,Events!$A$2:$A$10000,"&gt;="&amp;A160,Events!$A$2:$A$10000,"&lt;"&amp;EDATE(A160,1))</f>
        <v>0</v>
      </c>
      <c r="E160" s="12">
        <f>SUMIFS(Events!$E$2:$E$10000,Events!$A$2:$A$10000,"&gt;="&amp;A160,Events!$A$2:$A$10000,"&lt;"&amp;EDATE(A160,1))</f>
        <v>0</v>
      </c>
      <c r="F160" s="12">
        <f>SUMIFS(Events!$F$2:$F$10000,Events!$A$2:$A$10000,"&gt;="&amp;A160,Events!$A$2:$A$10000,"&lt;"&amp;EDATE(A160,1))</f>
        <v>0</v>
      </c>
      <c r="G160" s="4"/>
    </row>
    <row r="161" spans="1:7" x14ac:dyDescent="0.2">
      <c r="A161" s="11">
        <v>45017</v>
      </c>
      <c r="B161" s="12">
        <f>COUNTIFS(Events!$A$2:$A$10000,"&gt;="&amp;A161,Events!$A$2:$A$10000,"&lt;"&amp;EDATE(A161,1))</f>
        <v>0</v>
      </c>
      <c r="C161" s="12">
        <f>SUMIFS(Events!$C$2:$C$10000,Events!$A$2:$A$10000,"&gt;="&amp;A161,Events!$A$2:$A$10000,"&lt;"&amp;EDATE(A161,1))</f>
        <v>0</v>
      </c>
      <c r="D161" s="12">
        <f>SUMIFS(Events!$D$2:$D$10000,Events!$A$2:$A$10000,"&gt;="&amp;A161,Events!$A$2:$A$10000,"&lt;"&amp;EDATE(A161,1))</f>
        <v>0</v>
      </c>
      <c r="E161" s="12">
        <f>SUMIFS(Events!$E$2:$E$10000,Events!$A$2:$A$10000,"&gt;="&amp;A161,Events!$A$2:$A$10000,"&lt;"&amp;EDATE(A161,1))</f>
        <v>0</v>
      </c>
      <c r="F161" s="12">
        <f>SUMIFS(Events!$F$2:$F$10000,Events!$A$2:$A$10000,"&gt;="&amp;A161,Events!$A$2:$A$10000,"&lt;"&amp;EDATE(A161,1))</f>
        <v>0</v>
      </c>
      <c r="G161" s="4"/>
    </row>
    <row r="162" spans="1:7" x14ac:dyDescent="0.2">
      <c r="A162" s="11">
        <v>45047</v>
      </c>
      <c r="B162" s="12">
        <f>COUNTIFS(Events!$A$2:$A$10000,"&gt;="&amp;A162,Events!$A$2:$A$10000,"&lt;"&amp;EDATE(A162,1))</f>
        <v>0</v>
      </c>
      <c r="C162" s="12">
        <f>SUMIFS(Events!$C$2:$C$10000,Events!$A$2:$A$10000,"&gt;="&amp;A162,Events!$A$2:$A$10000,"&lt;"&amp;EDATE(A162,1))</f>
        <v>0</v>
      </c>
      <c r="D162" s="12">
        <f>SUMIFS(Events!$D$2:$D$10000,Events!$A$2:$A$10000,"&gt;="&amp;A162,Events!$A$2:$A$10000,"&lt;"&amp;EDATE(A162,1))</f>
        <v>0</v>
      </c>
      <c r="E162" s="12">
        <f>SUMIFS(Events!$E$2:$E$10000,Events!$A$2:$A$10000,"&gt;="&amp;A162,Events!$A$2:$A$10000,"&lt;"&amp;EDATE(A162,1))</f>
        <v>0</v>
      </c>
      <c r="F162" s="12">
        <f>SUMIFS(Events!$F$2:$F$10000,Events!$A$2:$A$10000,"&gt;="&amp;A162,Events!$A$2:$A$10000,"&lt;"&amp;EDATE(A162,1))</f>
        <v>0</v>
      </c>
      <c r="G162" s="4"/>
    </row>
    <row r="163" spans="1:7" ht="30" customHeight="1" x14ac:dyDescent="0.2">
      <c r="A163" s="11">
        <v>45078</v>
      </c>
      <c r="B163" s="12">
        <f>COUNTIFS(Events!$A$2:$A$10000,"&gt;="&amp;A163,Events!$A$2:$A$10000,"&lt;"&amp;EDATE(A163,1))</f>
        <v>1</v>
      </c>
      <c r="C163" s="12">
        <f>SUMIFS(Events!$C$2:$C$10000,Events!$A$2:$A$10000,"&gt;="&amp;A163,Events!$A$2:$A$10000,"&lt;"&amp;EDATE(A163,1))</f>
        <v>1</v>
      </c>
      <c r="D163" s="12">
        <f>SUMIFS(Events!$D$2:$D$10000,Events!$A$2:$A$10000,"&gt;="&amp;A163,Events!$A$2:$A$10000,"&lt;"&amp;EDATE(A163,1))</f>
        <v>0</v>
      </c>
      <c r="E163" s="12">
        <f>SUMIFS(Events!$E$2:$E$10000,Events!$A$2:$A$10000,"&gt;="&amp;A163,Events!$A$2:$A$10000,"&lt;"&amp;EDATE(A163,1))</f>
        <v>0</v>
      </c>
      <c r="F163" s="12">
        <f>SUMIFS(Events!$F$2:$F$10000,Events!$A$2:$A$10000,"&gt;="&amp;A163,Events!$A$2:$A$10000,"&lt;"&amp;EDATE(A163,1))</f>
        <v>0</v>
      </c>
      <c r="G163" s="13" t="s">
        <v>542</v>
      </c>
    </row>
    <row r="164" spans="1:7" x14ac:dyDescent="0.2">
      <c r="A164" s="11">
        <v>45108</v>
      </c>
      <c r="B164" s="12">
        <f>COUNTIFS(Events!$A$2:$A$10000,"&gt;="&amp;A164,Events!$A$2:$A$10000,"&lt;"&amp;EDATE(A164,1))</f>
        <v>0</v>
      </c>
      <c r="C164" s="12">
        <f>SUMIFS(Events!$C$2:$C$10000,Events!$A$2:$A$10000,"&gt;="&amp;A164,Events!$A$2:$A$10000,"&lt;"&amp;EDATE(A164,1))</f>
        <v>0</v>
      </c>
      <c r="D164" s="12">
        <f>SUMIFS(Events!$D$2:$D$10000,Events!$A$2:$A$10000,"&gt;="&amp;A164,Events!$A$2:$A$10000,"&lt;"&amp;EDATE(A164,1))</f>
        <v>0</v>
      </c>
      <c r="E164" s="12">
        <f>SUMIFS(Events!$E$2:$E$10000,Events!$A$2:$A$10000,"&gt;="&amp;A164,Events!$A$2:$A$10000,"&lt;"&amp;EDATE(A164,1))</f>
        <v>0</v>
      </c>
      <c r="F164" s="12">
        <f>SUMIFS(Events!$F$2:$F$10000,Events!$A$2:$A$10000,"&gt;="&amp;A164,Events!$A$2:$A$10000,"&lt;"&amp;EDATE(A164,1))</f>
        <v>0</v>
      </c>
      <c r="G164" s="4"/>
    </row>
    <row r="165" spans="1:7" x14ac:dyDescent="0.2">
      <c r="A165" s="11">
        <v>45139</v>
      </c>
      <c r="B165" s="12">
        <f>COUNTIFS(Events!$A$2:$A$10000,"&gt;="&amp;A165,Events!$A$2:$A$10000,"&lt;"&amp;EDATE(A165,1))</f>
        <v>0</v>
      </c>
      <c r="C165" s="12">
        <f>SUMIFS(Events!$C$2:$C$10000,Events!$A$2:$A$10000,"&gt;="&amp;A165,Events!$A$2:$A$10000,"&lt;"&amp;EDATE(A165,1))</f>
        <v>0</v>
      </c>
      <c r="D165" s="12">
        <f>SUMIFS(Events!$D$2:$D$10000,Events!$A$2:$A$10000,"&gt;="&amp;A165,Events!$A$2:$A$10000,"&lt;"&amp;EDATE(A165,1))</f>
        <v>0</v>
      </c>
      <c r="E165" s="12">
        <f>SUMIFS(Events!$E$2:$E$10000,Events!$A$2:$A$10000,"&gt;="&amp;A165,Events!$A$2:$A$10000,"&lt;"&amp;EDATE(A165,1))</f>
        <v>0</v>
      </c>
      <c r="F165" s="12">
        <f>SUMIFS(Events!$F$2:$F$10000,Events!$A$2:$A$10000,"&gt;="&amp;A165,Events!$A$2:$A$10000,"&lt;"&amp;EDATE(A165,1))</f>
        <v>0</v>
      </c>
      <c r="G165" s="4"/>
    </row>
    <row r="166" spans="1:7" x14ac:dyDescent="0.2">
      <c r="A166" s="11">
        <v>45170</v>
      </c>
      <c r="B166" s="12">
        <f>COUNTIFS(Events!$A$2:$A$10000,"&gt;="&amp;A166,Events!$A$2:$A$10000,"&lt;"&amp;EDATE(A166,1))</f>
        <v>0</v>
      </c>
      <c r="C166" s="12">
        <f>SUMIFS(Events!$C$2:$C$10000,Events!$A$2:$A$10000,"&gt;="&amp;A166,Events!$A$2:$A$10000,"&lt;"&amp;EDATE(A166,1))</f>
        <v>0</v>
      </c>
      <c r="D166" s="12">
        <f>SUMIFS(Events!$D$2:$D$10000,Events!$A$2:$A$10000,"&gt;="&amp;A166,Events!$A$2:$A$10000,"&lt;"&amp;EDATE(A166,1))</f>
        <v>0</v>
      </c>
      <c r="E166" s="12">
        <f>SUMIFS(Events!$E$2:$E$10000,Events!$A$2:$A$10000,"&gt;="&amp;A166,Events!$A$2:$A$10000,"&lt;"&amp;EDATE(A166,1))</f>
        <v>0</v>
      </c>
      <c r="F166" s="12">
        <f>SUMIFS(Events!$F$2:$F$10000,Events!$A$2:$A$10000,"&gt;="&amp;A166,Events!$A$2:$A$10000,"&lt;"&amp;EDATE(A166,1))</f>
        <v>0</v>
      </c>
      <c r="G166" s="4"/>
    </row>
    <row r="167" spans="1:7" x14ac:dyDescent="0.2">
      <c r="A167" s="11">
        <v>45200</v>
      </c>
      <c r="B167" s="12">
        <f>COUNTIFS(Events!$A$2:$A$10000,"&gt;="&amp;A167,Events!$A$2:$A$10000,"&lt;"&amp;EDATE(A167,1))</f>
        <v>0</v>
      </c>
      <c r="C167" s="12">
        <f>SUMIFS(Events!$C$2:$C$10000,Events!$A$2:$A$10000,"&gt;="&amp;A167,Events!$A$2:$A$10000,"&lt;"&amp;EDATE(A167,1))</f>
        <v>0</v>
      </c>
      <c r="D167" s="12">
        <f>SUMIFS(Events!$D$2:$D$10000,Events!$A$2:$A$10000,"&gt;="&amp;A167,Events!$A$2:$A$10000,"&lt;"&amp;EDATE(A167,1))</f>
        <v>0</v>
      </c>
      <c r="E167" s="12">
        <f>SUMIFS(Events!$E$2:$E$10000,Events!$A$2:$A$10000,"&gt;="&amp;A167,Events!$A$2:$A$10000,"&lt;"&amp;EDATE(A167,1))</f>
        <v>0</v>
      </c>
      <c r="F167" s="12">
        <f>SUMIFS(Events!$F$2:$F$10000,Events!$A$2:$A$10000,"&gt;="&amp;A167,Events!$A$2:$A$10000,"&lt;"&amp;EDATE(A167,1))</f>
        <v>0</v>
      </c>
      <c r="G167" s="4"/>
    </row>
    <row r="168" spans="1:7" x14ac:dyDescent="0.2">
      <c r="A168" s="11">
        <v>45231</v>
      </c>
      <c r="B168" s="12">
        <f>COUNTIFS(Events!$A$2:$A$10000,"&gt;="&amp;A168,Events!$A$2:$A$10000,"&lt;"&amp;EDATE(A168,1))</f>
        <v>0</v>
      </c>
      <c r="C168" s="12">
        <f>SUMIFS(Events!$C$2:$C$10000,Events!$A$2:$A$10000,"&gt;="&amp;A168,Events!$A$2:$A$10000,"&lt;"&amp;EDATE(A168,1))</f>
        <v>0</v>
      </c>
      <c r="D168" s="12">
        <f>SUMIFS(Events!$D$2:$D$10000,Events!$A$2:$A$10000,"&gt;="&amp;A168,Events!$A$2:$A$10000,"&lt;"&amp;EDATE(A168,1))</f>
        <v>0</v>
      </c>
      <c r="E168" s="12">
        <f>SUMIFS(Events!$E$2:$E$10000,Events!$A$2:$A$10000,"&gt;="&amp;A168,Events!$A$2:$A$10000,"&lt;"&amp;EDATE(A168,1))</f>
        <v>0</v>
      </c>
      <c r="F168" s="12">
        <f>SUMIFS(Events!$F$2:$F$10000,Events!$A$2:$A$10000,"&gt;="&amp;A168,Events!$A$2:$A$10000,"&lt;"&amp;EDATE(A168,1))</f>
        <v>0</v>
      </c>
      <c r="G168" s="4"/>
    </row>
    <row r="169" spans="1:7" x14ac:dyDescent="0.2">
      <c r="A169" s="11">
        <v>45261</v>
      </c>
      <c r="B169" s="12">
        <f>COUNTIFS(Events!$A$2:$A$10000,"&gt;="&amp;A169,Events!$A$2:$A$10000,"&lt;"&amp;EDATE(A169,1))</f>
        <v>0</v>
      </c>
      <c r="C169" s="12">
        <f>SUMIFS(Events!$C$2:$C$10000,Events!$A$2:$A$10000,"&gt;="&amp;A169,Events!$A$2:$A$10000,"&lt;"&amp;EDATE(A169,1))</f>
        <v>0</v>
      </c>
      <c r="D169" s="12">
        <f>SUMIFS(Events!$D$2:$D$10000,Events!$A$2:$A$10000,"&gt;="&amp;A169,Events!$A$2:$A$10000,"&lt;"&amp;EDATE(A169,1))</f>
        <v>0</v>
      </c>
      <c r="E169" s="12">
        <f>SUMIFS(Events!$E$2:$E$10000,Events!$A$2:$A$10000,"&gt;="&amp;A169,Events!$A$2:$A$10000,"&lt;"&amp;EDATE(A169,1))</f>
        <v>0</v>
      </c>
      <c r="F169" s="12">
        <f>SUMIFS(Events!$F$2:$F$10000,Events!$A$2:$A$10000,"&gt;="&amp;A169,Events!$A$2:$A$10000,"&lt;"&amp;EDATE(A169,1))</f>
        <v>0</v>
      </c>
      <c r="G169" s="4"/>
    </row>
    <row r="170" spans="1:7" x14ac:dyDescent="0.2">
      <c r="A170" s="11">
        <v>45292</v>
      </c>
      <c r="B170" s="12">
        <f>COUNTIFS(Events!$A$2:$A$10000,"&gt;="&amp;A170,Events!$A$2:$A$10000,"&lt;"&amp;EDATE(A170,1))</f>
        <v>0</v>
      </c>
      <c r="C170" s="12">
        <f>SUMIFS(Events!$C$2:$C$10000,Events!$A$2:$A$10000,"&gt;="&amp;A170,Events!$A$2:$A$10000,"&lt;"&amp;EDATE(A170,1))</f>
        <v>0</v>
      </c>
      <c r="D170" s="12">
        <f>SUMIFS(Events!$D$2:$D$10000,Events!$A$2:$A$10000,"&gt;="&amp;A170,Events!$A$2:$A$10000,"&lt;"&amp;EDATE(A170,1))</f>
        <v>0</v>
      </c>
      <c r="E170" s="12">
        <f>SUMIFS(Events!$E$2:$E$10000,Events!$A$2:$A$10000,"&gt;="&amp;A170,Events!$A$2:$A$10000,"&lt;"&amp;EDATE(A170,1))</f>
        <v>0</v>
      </c>
      <c r="F170" s="12">
        <f>SUMIFS(Events!$F$2:$F$10000,Events!$A$2:$A$10000,"&gt;="&amp;A170,Events!$A$2:$A$10000,"&lt;"&amp;EDATE(A170,1))</f>
        <v>0</v>
      </c>
      <c r="G170" s="4"/>
    </row>
    <row r="171" spans="1:7" x14ac:dyDescent="0.2">
      <c r="A171" s="11">
        <v>45323</v>
      </c>
      <c r="B171" s="12">
        <f>COUNTIFS(Events!$A$2:$A$10000,"&gt;="&amp;A171,Events!$A$2:$A$10000,"&lt;"&amp;EDATE(A171,1))</f>
        <v>0</v>
      </c>
      <c r="C171" s="12">
        <f>SUMIFS(Events!$C$2:$C$10000,Events!$A$2:$A$10000,"&gt;="&amp;A171,Events!$A$2:$A$10000,"&lt;"&amp;EDATE(A171,1))</f>
        <v>0</v>
      </c>
      <c r="D171" s="12">
        <f>SUMIFS(Events!$D$2:$D$10000,Events!$A$2:$A$10000,"&gt;="&amp;A171,Events!$A$2:$A$10000,"&lt;"&amp;EDATE(A171,1))</f>
        <v>0</v>
      </c>
      <c r="E171" s="12">
        <f>SUMIFS(Events!$E$2:$E$10000,Events!$A$2:$A$10000,"&gt;="&amp;A171,Events!$A$2:$A$10000,"&lt;"&amp;EDATE(A171,1))</f>
        <v>0</v>
      </c>
      <c r="F171" s="12">
        <f>SUMIFS(Events!$F$2:$F$10000,Events!$A$2:$A$10000,"&gt;="&amp;A171,Events!$A$2:$A$10000,"&lt;"&amp;EDATE(A171,1))</f>
        <v>0</v>
      </c>
      <c r="G171" s="4"/>
    </row>
    <row r="172" spans="1:7" x14ac:dyDescent="0.2">
      <c r="A172" s="11">
        <v>45352</v>
      </c>
      <c r="B172" s="12">
        <f>COUNTIFS(Events!$A$2:$A$10000,"&gt;="&amp;A172,Events!$A$2:$A$10000,"&lt;"&amp;EDATE(A172,1))</f>
        <v>0</v>
      </c>
      <c r="C172" s="12">
        <f>SUMIFS(Events!$C$2:$C$10000,Events!$A$2:$A$10000,"&gt;="&amp;A172,Events!$A$2:$A$10000,"&lt;"&amp;EDATE(A172,1))</f>
        <v>0</v>
      </c>
      <c r="D172" s="12">
        <f>SUMIFS(Events!$D$2:$D$10000,Events!$A$2:$A$10000,"&gt;="&amp;A172,Events!$A$2:$A$10000,"&lt;"&amp;EDATE(A172,1))</f>
        <v>0</v>
      </c>
      <c r="E172" s="12">
        <f>SUMIFS(Events!$E$2:$E$10000,Events!$A$2:$A$10000,"&gt;="&amp;A172,Events!$A$2:$A$10000,"&lt;"&amp;EDATE(A172,1))</f>
        <v>0</v>
      </c>
      <c r="F172" s="12">
        <f>SUMIFS(Events!$F$2:$F$10000,Events!$A$2:$A$10000,"&gt;="&amp;A172,Events!$A$2:$A$10000,"&lt;"&amp;EDATE(A172,1))</f>
        <v>0</v>
      </c>
      <c r="G172" s="4"/>
    </row>
    <row r="173" spans="1:7" x14ac:dyDescent="0.2">
      <c r="A173" s="11">
        <v>45383</v>
      </c>
      <c r="B173" s="12">
        <f>COUNTIFS(Events!$A$2:$A$10000,"&gt;="&amp;A173,Events!$A$2:$A$10000,"&lt;"&amp;EDATE(A173,1))</f>
        <v>0</v>
      </c>
      <c r="C173" s="12">
        <f>SUMIFS(Events!$C$2:$C$10000,Events!$A$2:$A$10000,"&gt;="&amp;A173,Events!$A$2:$A$10000,"&lt;"&amp;EDATE(A173,1))</f>
        <v>0</v>
      </c>
      <c r="D173" s="12">
        <f>SUMIFS(Events!$D$2:$D$10000,Events!$A$2:$A$10000,"&gt;="&amp;A173,Events!$A$2:$A$10000,"&lt;"&amp;EDATE(A173,1))</f>
        <v>0</v>
      </c>
      <c r="E173" s="12">
        <f>SUMIFS(Events!$E$2:$E$10000,Events!$A$2:$A$10000,"&gt;="&amp;A173,Events!$A$2:$A$10000,"&lt;"&amp;EDATE(A173,1))</f>
        <v>0</v>
      </c>
      <c r="F173" s="12">
        <f>SUMIFS(Events!$F$2:$F$10000,Events!$A$2:$A$10000,"&gt;="&amp;A173,Events!$A$2:$A$10000,"&lt;"&amp;EDATE(A173,1))</f>
        <v>0</v>
      </c>
      <c r="G173" s="4"/>
    </row>
    <row r="174" spans="1:7" x14ac:dyDescent="0.2">
      <c r="A174" s="11">
        <v>45413</v>
      </c>
      <c r="B174" s="12">
        <f>COUNTIFS(Events!$A$2:$A$10000,"&gt;="&amp;A174,Events!$A$2:$A$10000,"&lt;"&amp;EDATE(A174,1))</f>
        <v>0</v>
      </c>
      <c r="C174" s="12">
        <f>SUMIFS(Events!$C$2:$C$10000,Events!$A$2:$A$10000,"&gt;="&amp;A174,Events!$A$2:$A$10000,"&lt;"&amp;EDATE(A174,1))</f>
        <v>0</v>
      </c>
      <c r="D174" s="12">
        <f>SUMIFS(Events!$D$2:$D$10000,Events!$A$2:$A$10000,"&gt;="&amp;A174,Events!$A$2:$A$10000,"&lt;"&amp;EDATE(A174,1))</f>
        <v>0</v>
      </c>
      <c r="E174" s="12">
        <f>SUMIFS(Events!$E$2:$E$10000,Events!$A$2:$A$10000,"&gt;="&amp;A174,Events!$A$2:$A$10000,"&lt;"&amp;EDATE(A174,1))</f>
        <v>0</v>
      </c>
      <c r="F174" s="12">
        <f>SUMIFS(Events!$F$2:$F$10000,Events!$A$2:$A$10000,"&gt;="&amp;A174,Events!$A$2:$A$10000,"&lt;"&amp;EDATE(A174,1))</f>
        <v>0</v>
      </c>
      <c r="G174" s="4"/>
    </row>
    <row r="175" spans="1:7" x14ac:dyDescent="0.2">
      <c r="A175" s="11">
        <v>45444</v>
      </c>
      <c r="B175" s="12">
        <f>COUNTIFS(Events!$A$2:$A$10000,"&gt;="&amp;A175,Events!$A$2:$A$10000,"&lt;"&amp;EDATE(A175,1))</f>
        <v>0</v>
      </c>
      <c r="C175" s="12">
        <f>SUMIFS(Events!$C$2:$C$10000,Events!$A$2:$A$10000,"&gt;="&amp;A175,Events!$A$2:$A$10000,"&lt;"&amp;EDATE(A175,1))</f>
        <v>0</v>
      </c>
      <c r="D175" s="12">
        <f>SUMIFS(Events!$D$2:$D$10000,Events!$A$2:$A$10000,"&gt;="&amp;A175,Events!$A$2:$A$10000,"&lt;"&amp;EDATE(A175,1))</f>
        <v>0</v>
      </c>
      <c r="E175" s="12">
        <f>SUMIFS(Events!$E$2:$E$10000,Events!$A$2:$A$10000,"&gt;="&amp;A175,Events!$A$2:$A$10000,"&lt;"&amp;EDATE(A175,1))</f>
        <v>0</v>
      </c>
      <c r="F175" s="12">
        <f>SUMIFS(Events!$F$2:$F$10000,Events!$A$2:$A$10000,"&gt;="&amp;A175,Events!$A$2:$A$10000,"&lt;"&amp;EDATE(A175,1))</f>
        <v>0</v>
      </c>
      <c r="G175" s="4"/>
    </row>
    <row r="176" spans="1:7" x14ac:dyDescent="0.2">
      <c r="A176" s="11">
        <v>45474</v>
      </c>
      <c r="B176" s="12">
        <f>COUNTIFS(Events!$A$2:$A$10000,"&gt;="&amp;A176,Events!$A$2:$A$10000,"&lt;"&amp;EDATE(A176,1))</f>
        <v>0</v>
      </c>
      <c r="C176" s="12">
        <f>SUMIFS(Events!$C$2:$C$10000,Events!$A$2:$A$10000,"&gt;="&amp;A176,Events!$A$2:$A$10000,"&lt;"&amp;EDATE(A176,1))</f>
        <v>0</v>
      </c>
      <c r="D176" s="12">
        <f>SUMIFS(Events!$D$2:$D$10000,Events!$A$2:$A$10000,"&gt;="&amp;A176,Events!$A$2:$A$10000,"&lt;"&amp;EDATE(A176,1))</f>
        <v>0</v>
      </c>
      <c r="E176" s="12">
        <f>SUMIFS(Events!$E$2:$E$10000,Events!$A$2:$A$10000,"&gt;="&amp;A176,Events!$A$2:$A$10000,"&lt;"&amp;EDATE(A176,1))</f>
        <v>0</v>
      </c>
      <c r="F176" s="12">
        <f>SUMIFS(Events!$F$2:$F$10000,Events!$A$2:$A$10000,"&gt;="&amp;A176,Events!$A$2:$A$10000,"&lt;"&amp;EDATE(A176,1))</f>
        <v>0</v>
      </c>
      <c r="G176" s="4"/>
    </row>
    <row r="177" spans="1:7" x14ac:dyDescent="0.2">
      <c r="A177" s="11">
        <v>45505</v>
      </c>
      <c r="B177" s="12">
        <f>COUNTIFS(Events!$A$2:$A$10000,"&gt;="&amp;A177,Events!$A$2:$A$10000,"&lt;"&amp;EDATE(A177,1))</f>
        <v>0</v>
      </c>
      <c r="C177" s="12">
        <f>SUMIFS(Events!$C$2:$C$10000,Events!$A$2:$A$10000,"&gt;="&amp;A177,Events!$A$2:$A$10000,"&lt;"&amp;EDATE(A177,1))</f>
        <v>0</v>
      </c>
      <c r="D177" s="12">
        <f>SUMIFS(Events!$D$2:$D$10000,Events!$A$2:$A$10000,"&gt;="&amp;A177,Events!$A$2:$A$10000,"&lt;"&amp;EDATE(A177,1))</f>
        <v>0</v>
      </c>
      <c r="E177" s="12">
        <f>SUMIFS(Events!$E$2:$E$10000,Events!$A$2:$A$10000,"&gt;="&amp;A177,Events!$A$2:$A$10000,"&lt;"&amp;EDATE(A177,1))</f>
        <v>0</v>
      </c>
      <c r="F177" s="12">
        <f>SUMIFS(Events!$F$2:$F$10000,Events!$A$2:$A$10000,"&gt;="&amp;A177,Events!$A$2:$A$10000,"&lt;"&amp;EDATE(A177,1))</f>
        <v>0</v>
      </c>
      <c r="G177" s="4"/>
    </row>
    <row r="178" spans="1:7" x14ac:dyDescent="0.2">
      <c r="A178" s="11">
        <v>45536</v>
      </c>
      <c r="B178" s="12">
        <f>COUNTIFS(Events!$A$2:$A$10000,"&gt;="&amp;A178,Events!$A$2:$A$10000,"&lt;"&amp;EDATE(A178,1))</f>
        <v>0</v>
      </c>
      <c r="C178" s="12">
        <f>SUMIFS(Events!$C$2:$C$10000,Events!$A$2:$A$10000,"&gt;="&amp;A178,Events!$A$2:$A$10000,"&lt;"&amp;EDATE(A178,1))</f>
        <v>0</v>
      </c>
      <c r="D178" s="12">
        <f>SUMIFS(Events!$D$2:$D$10000,Events!$A$2:$A$10000,"&gt;="&amp;A178,Events!$A$2:$A$10000,"&lt;"&amp;EDATE(A178,1))</f>
        <v>0</v>
      </c>
      <c r="E178" s="12">
        <f>SUMIFS(Events!$E$2:$E$10000,Events!$A$2:$A$10000,"&gt;="&amp;A178,Events!$A$2:$A$10000,"&lt;"&amp;EDATE(A178,1))</f>
        <v>0</v>
      </c>
      <c r="F178" s="12">
        <f>SUMIFS(Events!$F$2:$F$10000,Events!$A$2:$A$10000,"&gt;="&amp;A178,Events!$A$2:$A$10000,"&lt;"&amp;EDATE(A178,1))</f>
        <v>0</v>
      </c>
      <c r="G178" s="4"/>
    </row>
    <row r="179" spans="1:7" x14ac:dyDescent="0.2">
      <c r="A179" s="11">
        <v>45566</v>
      </c>
      <c r="B179" s="12">
        <f>COUNTIFS(Events!$A$2:$A$10000,"&gt;="&amp;A179,Events!$A$2:$A$10000,"&lt;"&amp;EDATE(A179,1))</f>
        <v>0</v>
      </c>
      <c r="C179" s="12">
        <f>SUMIFS(Events!$C$2:$C$10000,Events!$A$2:$A$10000,"&gt;="&amp;A179,Events!$A$2:$A$10000,"&lt;"&amp;EDATE(A179,1))</f>
        <v>0</v>
      </c>
      <c r="D179" s="12">
        <f>SUMIFS(Events!$D$2:$D$10000,Events!$A$2:$A$10000,"&gt;="&amp;A179,Events!$A$2:$A$10000,"&lt;"&amp;EDATE(A179,1))</f>
        <v>0</v>
      </c>
      <c r="E179" s="12">
        <f>SUMIFS(Events!$E$2:$E$10000,Events!$A$2:$A$10000,"&gt;="&amp;A179,Events!$A$2:$A$10000,"&lt;"&amp;EDATE(A179,1))</f>
        <v>0</v>
      </c>
      <c r="F179" s="12">
        <f>SUMIFS(Events!$F$2:$F$10000,Events!$A$2:$A$10000,"&gt;="&amp;A179,Events!$A$2:$A$10000,"&lt;"&amp;EDATE(A179,1))</f>
        <v>0</v>
      </c>
      <c r="G179" s="4"/>
    </row>
    <row r="180" spans="1:7" x14ac:dyDescent="0.2">
      <c r="A180" s="11">
        <v>45597</v>
      </c>
      <c r="B180" s="12">
        <f>COUNTIFS(Events!$A$2:$A$10000,"&gt;="&amp;A180,Events!$A$2:$A$10000,"&lt;"&amp;EDATE(A180,1))</f>
        <v>0</v>
      </c>
      <c r="C180" s="12">
        <f>SUMIFS(Events!$C$2:$C$10000,Events!$A$2:$A$10000,"&gt;="&amp;A180,Events!$A$2:$A$10000,"&lt;"&amp;EDATE(A180,1))</f>
        <v>0</v>
      </c>
      <c r="D180" s="12">
        <f>SUMIFS(Events!$D$2:$D$10000,Events!$A$2:$A$10000,"&gt;="&amp;A180,Events!$A$2:$A$10000,"&lt;"&amp;EDATE(A180,1))</f>
        <v>0</v>
      </c>
      <c r="E180" s="12">
        <f>SUMIFS(Events!$E$2:$E$10000,Events!$A$2:$A$10000,"&gt;="&amp;A180,Events!$A$2:$A$10000,"&lt;"&amp;EDATE(A180,1))</f>
        <v>0</v>
      </c>
      <c r="F180" s="12">
        <f>SUMIFS(Events!$F$2:$F$10000,Events!$A$2:$A$10000,"&gt;="&amp;A180,Events!$A$2:$A$10000,"&lt;"&amp;EDATE(A180,1))</f>
        <v>0</v>
      </c>
      <c r="G180" s="4"/>
    </row>
    <row r="181" spans="1:7" x14ac:dyDescent="0.2">
      <c r="A181" s="11">
        <v>45627</v>
      </c>
      <c r="B181" s="12">
        <f>COUNTIFS(Events!$A$2:$A$10000,"&gt;="&amp;A181,Events!$A$2:$A$10000,"&lt;"&amp;EDATE(A181,1))</f>
        <v>0</v>
      </c>
      <c r="C181" s="12">
        <f>SUMIFS(Events!$C$2:$C$10000,Events!$A$2:$A$10000,"&gt;="&amp;A181,Events!$A$2:$A$10000,"&lt;"&amp;EDATE(A181,1))</f>
        <v>0</v>
      </c>
      <c r="D181" s="12">
        <f>SUMIFS(Events!$D$2:$D$10000,Events!$A$2:$A$10000,"&gt;="&amp;A181,Events!$A$2:$A$10000,"&lt;"&amp;EDATE(A181,1))</f>
        <v>0</v>
      </c>
      <c r="E181" s="12">
        <f>SUMIFS(Events!$E$2:$E$10000,Events!$A$2:$A$10000,"&gt;="&amp;A181,Events!$A$2:$A$10000,"&lt;"&amp;EDATE(A181,1))</f>
        <v>0</v>
      </c>
      <c r="F181" s="12">
        <f>SUMIFS(Events!$F$2:$F$10000,Events!$A$2:$A$10000,"&gt;="&amp;A181,Events!$A$2:$A$10000,"&lt;"&amp;EDATE(A181,1))</f>
        <v>0</v>
      </c>
      <c r="G181" s="4"/>
    </row>
    <row r="182" spans="1:7" ht="30" customHeight="1" x14ac:dyDescent="0.2">
      <c r="A182" s="11">
        <v>45658</v>
      </c>
      <c r="B182" s="12">
        <f>COUNTIFS(Events!$A$2:$A$10000,"&gt;="&amp;A182,Events!$A$2:$A$10000,"&lt;"&amp;EDATE(A182,1))</f>
        <v>0</v>
      </c>
      <c r="C182" s="12">
        <f>SUMIFS(Events!$C$2:$C$10000,Events!$A$2:$A$10000,"&gt;="&amp;A182,Events!$A$2:$A$10000,"&lt;"&amp;EDATE(A182,1))</f>
        <v>0</v>
      </c>
      <c r="D182" s="12">
        <f>SUMIFS(Events!$D$2:$D$10000,Events!$A$2:$A$10000,"&gt;="&amp;A182,Events!$A$2:$A$10000,"&lt;"&amp;EDATE(A182,1))</f>
        <v>0</v>
      </c>
      <c r="E182" s="12">
        <f>SUMIFS(Events!$E$2:$E$10000,Events!$A$2:$A$10000,"&gt;="&amp;A182,Events!$A$2:$A$10000,"&lt;"&amp;EDATE(A182,1))</f>
        <v>0</v>
      </c>
      <c r="F182" s="12">
        <f>SUMIFS(Events!$F$2:$F$10000,Events!$A$2:$A$10000,"&gt;="&amp;A182,Events!$A$2:$A$10000,"&lt;"&amp;EDATE(A182,1))</f>
        <v>0</v>
      </c>
      <c r="G182" s="13" t="s">
        <v>543</v>
      </c>
    </row>
    <row r="183" spans="1:7" x14ac:dyDescent="0.2">
      <c r="A183" s="11">
        <v>45689</v>
      </c>
      <c r="B183" s="12">
        <f>COUNTIFS(Events!$A$2:$A$10000,"&gt;="&amp;A183,Events!$A$2:$A$10000,"&lt;"&amp;EDATE(A183,1))</f>
        <v>1</v>
      </c>
      <c r="C183" s="12">
        <f>SUMIFS(Events!$C$2:$C$10000,Events!$A$2:$A$10000,"&gt;="&amp;A183,Events!$A$2:$A$10000,"&lt;"&amp;EDATE(A183,1))</f>
        <v>1</v>
      </c>
      <c r="D183" s="12">
        <f>SUMIFS(Events!$D$2:$D$10000,Events!$A$2:$A$10000,"&gt;="&amp;A183,Events!$A$2:$A$10000,"&lt;"&amp;EDATE(A183,1))</f>
        <v>0</v>
      </c>
      <c r="E183" s="12">
        <f>SUMIFS(Events!$E$2:$E$10000,Events!$A$2:$A$10000,"&gt;="&amp;A183,Events!$A$2:$A$10000,"&lt;"&amp;EDATE(A183,1))</f>
        <v>0</v>
      </c>
      <c r="F183" s="12">
        <f>SUMIFS(Events!$F$2:$F$10000,Events!$A$2:$A$10000,"&gt;="&amp;A183,Events!$A$2:$A$10000,"&lt;"&amp;EDATE(A183,1))</f>
        <v>0</v>
      </c>
      <c r="G183" s="4"/>
    </row>
    <row r="184" spans="1:7" x14ac:dyDescent="0.2">
      <c r="A184" s="11">
        <v>45717</v>
      </c>
      <c r="B184" s="12">
        <f>COUNTIFS(Events!$A$2:$A$10000,"&gt;="&amp;A184,Events!$A$2:$A$10000,"&lt;"&amp;EDATE(A184,1))</f>
        <v>1</v>
      </c>
      <c r="C184" s="12">
        <f>SUMIFS(Events!$C$2:$C$10000,Events!$A$2:$A$10000,"&gt;="&amp;A184,Events!$A$2:$A$10000,"&lt;"&amp;EDATE(A184,1))</f>
        <v>1</v>
      </c>
      <c r="D184" s="12">
        <f>SUMIFS(Events!$D$2:$D$10000,Events!$A$2:$A$10000,"&gt;="&amp;A184,Events!$A$2:$A$10000,"&lt;"&amp;EDATE(A184,1))</f>
        <v>0</v>
      </c>
      <c r="E184" s="12">
        <f>SUMIFS(Events!$E$2:$E$10000,Events!$A$2:$A$10000,"&gt;="&amp;A184,Events!$A$2:$A$10000,"&lt;"&amp;EDATE(A184,1))</f>
        <v>0</v>
      </c>
      <c r="F184" s="12">
        <f>SUMIFS(Events!$F$2:$F$10000,Events!$A$2:$A$10000,"&gt;="&amp;A184,Events!$A$2:$A$10000,"&lt;"&amp;EDATE(A184,1))</f>
        <v>0</v>
      </c>
      <c r="G184" s="4"/>
    </row>
    <row r="185" spans="1:7" ht="30" customHeight="1" x14ac:dyDescent="0.2">
      <c r="A185" s="11">
        <v>45748</v>
      </c>
      <c r="B185" s="12">
        <f>COUNTIFS(Events!$A$2:$A$10000,"&gt;="&amp;A185,Events!$A$2:$A$10000,"&lt;"&amp;EDATE(A185,1))</f>
        <v>9</v>
      </c>
      <c r="C185" s="12">
        <f>SUMIFS(Events!$C$2:$C$10000,Events!$A$2:$A$10000,"&gt;="&amp;A185,Events!$A$2:$A$10000,"&lt;"&amp;EDATE(A185,1))</f>
        <v>3</v>
      </c>
      <c r="D185" s="12">
        <f>SUMIFS(Events!$D$2:$D$10000,Events!$A$2:$A$10000,"&gt;="&amp;A185,Events!$A$2:$A$10000,"&lt;"&amp;EDATE(A185,1))</f>
        <v>4</v>
      </c>
      <c r="E185" s="12">
        <f>SUMIFS(Events!$E$2:$E$10000,Events!$A$2:$A$10000,"&gt;="&amp;A185,Events!$A$2:$A$10000,"&lt;"&amp;EDATE(A185,1))</f>
        <v>1</v>
      </c>
      <c r="F185" s="12">
        <f>SUMIFS(Events!$F$2:$F$10000,Events!$A$2:$A$10000,"&gt;="&amp;A185,Events!$A$2:$A$10000,"&lt;"&amp;EDATE(A185,1))</f>
        <v>1</v>
      </c>
      <c r="G185" s="13" t="s">
        <v>544</v>
      </c>
    </row>
    <row r="186" spans="1:7" x14ac:dyDescent="0.2">
      <c r="A186" s="11">
        <v>45778</v>
      </c>
      <c r="B186" s="12">
        <f>COUNTIFS(Events!$A$2:$A$10000,"&gt;="&amp;A186,Events!$A$2:$A$10000,"&lt;"&amp;EDATE(A186,1))</f>
        <v>6</v>
      </c>
      <c r="C186" s="12">
        <f>SUMIFS(Events!$C$2:$C$10000,Events!$A$2:$A$10000,"&gt;="&amp;A186,Events!$A$2:$A$10000,"&lt;"&amp;EDATE(A186,1))</f>
        <v>1</v>
      </c>
      <c r="D186" s="12">
        <f>SUMIFS(Events!$D$2:$D$10000,Events!$A$2:$A$10000,"&gt;="&amp;A186,Events!$A$2:$A$10000,"&lt;"&amp;EDATE(A186,1))</f>
        <v>0</v>
      </c>
      <c r="E186" s="12">
        <f>SUMIFS(Events!$E$2:$E$10000,Events!$A$2:$A$10000,"&gt;="&amp;A186,Events!$A$2:$A$10000,"&lt;"&amp;EDATE(A186,1))</f>
        <v>5</v>
      </c>
      <c r="F186" s="12">
        <f>SUMIFS(Events!$F$2:$F$10000,Events!$A$2:$A$10000,"&gt;="&amp;A186,Events!$A$2:$A$10000,"&lt;"&amp;EDATE(A186,1))</f>
        <v>0</v>
      </c>
      <c r="G186" s="4"/>
    </row>
    <row r="187" spans="1:7" x14ac:dyDescent="0.2">
      <c r="A187" s="11">
        <v>45809</v>
      </c>
      <c r="B187" s="12">
        <f>COUNTIFS(Events!$A$2:$A$10000,"&gt;="&amp;A187,Events!$A$2:$A$10000,"&lt;"&amp;EDATE(A187,1))</f>
        <v>0</v>
      </c>
      <c r="C187" s="12">
        <f>SUMIFS(Events!$C$2:$C$10000,Events!$A$2:$A$10000,"&gt;="&amp;A187,Events!$A$2:$A$10000,"&lt;"&amp;EDATE(A187,1))</f>
        <v>0</v>
      </c>
      <c r="D187" s="12">
        <f>SUMIFS(Events!$D$2:$D$10000,Events!$A$2:$A$10000,"&gt;="&amp;A187,Events!$A$2:$A$10000,"&lt;"&amp;EDATE(A187,1))</f>
        <v>0</v>
      </c>
      <c r="E187" s="12">
        <f>SUMIFS(Events!$E$2:$E$10000,Events!$A$2:$A$10000,"&gt;="&amp;A187,Events!$A$2:$A$10000,"&lt;"&amp;EDATE(A187,1))</f>
        <v>0</v>
      </c>
      <c r="F187" s="12">
        <f>SUMIFS(Events!$F$2:$F$10000,Events!$A$2:$A$10000,"&gt;="&amp;A187,Events!$A$2:$A$10000,"&lt;"&amp;EDATE(A187,1))</f>
        <v>0</v>
      </c>
      <c r="G187" s="4"/>
    </row>
    <row r="188" spans="1:7" ht="30" customHeight="1" x14ac:dyDescent="0.2">
      <c r="A188" s="11">
        <v>45839</v>
      </c>
      <c r="B188" s="12">
        <f>COUNTIFS(Events!$A$2:$A$10000,"&gt;="&amp;A188,Events!$A$2:$A$10000,"&lt;"&amp;EDATE(A188,1))</f>
        <v>7</v>
      </c>
      <c r="C188" s="12">
        <f>SUMIFS(Events!$C$2:$C$10000,Events!$A$2:$A$10000,"&gt;="&amp;A188,Events!$A$2:$A$10000,"&lt;"&amp;EDATE(A188,1))</f>
        <v>7</v>
      </c>
      <c r="D188" s="12">
        <f>SUMIFS(Events!$D$2:$D$10000,Events!$A$2:$A$10000,"&gt;="&amp;A188,Events!$A$2:$A$10000,"&lt;"&amp;EDATE(A188,1))</f>
        <v>1</v>
      </c>
      <c r="E188" s="12">
        <f>SUMIFS(Events!$E$2:$E$10000,Events!$A$2:$A$10000,"&gt;="&amp;A188,Events!$A$2:$A$10000,"&lt;"&amp;EDATE(A188,1))</f>
        <v>0</v>
      </c>
      <c r="F188" s="12">
        <f>SUMIFS(Events!$F$2:$F$10000,Events!$A$2:$A$10000,"&gt;="&amp;A188,Events!$A$2:$A$10000,"&lt;"&amp;EDATE(A188,1))</f>
        <v>0</v>
      </c>
      <c r="G188" s="13" t="s">
        <v>545</v>
      </c>
    </row>
    <row r="189" spans="1:7" x14ac:dyDescent="0.2">
      <c r="A189" s="11">
        <v>45870</v>
      </c>
      <c r="B189" s="12">
        <f>COUNTIFS(Events!$A$2:$A$10000,"&gt;="&amp;A189,Events!$A$2:$A$10000,"&lt;"&amp;EDATE(A189,1))</f>
        <v>0</v>
      </c>
      <c r="C189" s="12">
        <f>SUMIFS(Events!$C$2:$C$10000,Events!$A$2:$A$10000,"&gt;="&amp;A189,Events!$A$2:$A$10000,"&lt;"&amp;EDATE(A189,1))</f>
        <v>0</v>
      </c>
      <c r="D189" s="12">
        <f>SUMIFS(Events!$D$2:$D$10000,Events!$A$2:$A$10000,"&gt;="&amp;A189,Events!$A$2:$A$10000,"&lt;"&amp;EDATE(A189,1))</f>
        <v>0</v>
      </c>
      <c r="E189" s="12">
        <f>SUMIFS(Events!$E$2:$E$10000,Events!$A$2:$A$10000,"&gt;="&amp;A189,Events!$A$2:$A$10000,"&lt;"&amp;EDATE(A189,1))</f>
        <v>0</v>
      </c>
      <c r="F189" s="12">
        <f>SUMIFS(Events!$F$2:$F$10000,Events!$A$2:$A$10000,"&gt;="&amp;A189,Events!$A$2:$A$10000,"&lt;"&amp;EDATE(A189,1))</f>
        <v>0</v>
      </c>
      <c r="G189" s="4"/>
    </row>
    <row r="190" spans="1:7" x14ac:dyDescent="0.2">
      <c r="A190" s="11">
        <v>45901</v>
      </c>
      <c r="B190" s="12">
        <f>COUNTIFS(Events!$A$2:$A$10000,"&gt;="&amp;A190,Events!$A$2:$A$10000,"&lt;"&amp;EDATE(A190,1))</f>
        <v>0</v>
      </c>
      <c r="C190" s="12">
        <f>SUMIFS(Events!$C$2:$C$10000,Events!$A$2:$A$10000,"&gt;="&amp;A190,Events!$A$2:$A$10000,"&lt;"&amp;EDATE(A190,1))</f>
        <v>0</v>
      </c>
      <c r="D190" s="12">
        <f>SUMIFS(Events!$D$2:$D$10000,Events!$A$2:$A$10000,"&gt;="&amp;A190,Events!$A$2:$A$10000,"&lt;"&amp;EDATE(A190,1))</f>
        <v>0</v>
      </c>
      <c r="E190" s="12">
        <f>SUMIFS(Events!$E$2:$E$10000,Events!$A$2:$A$10000,"&gt;="&amp;A190,Events!$A$2:$A$10000,"&lt;"&amp;EDATE(A190,1))</f>
        <v>0</v>
      </c>
      <c r="F190" s="12">
        <f>SUMIFS(Events!$F$2:$F$10000,Events!$A$2:$A$10000,"&gt;="&amp;A190,Events!$A$2:$A$10000,"&lt;"&amp;EDATE(A190,1))</f>
        <v>0</v>
      </c>
      <c r="G190" s="4"/>
    </row>
    <row r="191" spans="1:7" ht="30" customHeight="1" x14ac:dyDescent="0.2">
      <c r="A191" s="11">
        <v>45931</v>
      </c>
      <c r="B191" s="12">
        <f>COUNTIFS(Events!$A$2:$A$10000,"&gt;="&amp;A191,Events!$A$2:$A$10000,"&lt;"&amp;EDATE(A191,1))</f>
        <v>2</v>
      </c>
      <c r="C191" s="12">
        <f>SUMIFS(Events!$C$2:$C$10000,Events!$A$2:$A$10000,"&gt;="&amp;A191,Events!$A$2:$A$10000,"&lt;"&amp;EDATE(A191,1))</f>
        <v>2</v>
      </c>
      <c r="D191" s="12">
        <f>SUMIFS(Events!$D$2:$D$10000,Events!$A$2:$A$10000,"&gt;="&amp;A191,Events!$A$2:$A$10000,"&lt;"&amp;EDATE(A191,1))</f>
        <v>1</v>
      </c>
      <c r="E191" s="12">
        <f>SUMIFS(Events!$E$2:$E$10000,Events!$A$2:$A$10000,"&gt;="&amp;A191,Events!$A$2:$A$10000,"&lt;"&amp;EDATE(A191,1))</f>
        <v>0</v>
      </c>
      <c r="F191" s="12">
        <f>SUMIFS(Events!$F$2:$F$10000,Events!$A$2:$A$10000,"&gt;="&amp;A191,Events!$A$2:$A$10000,"&lt;"&amp;EDATE(A191,1))</f>
        <v>0</v>
      </c>
      <c r="G191" s="13" t="s">
        <v>546</v>
      </c>
    </row>
    <row r="192" spans="1:7" x14ac:dyDescent="0.2">
      <c r="A192" s="11">
        <v>45962</v>
      </c>
      <c r="B192" s="12">
        <f>COUNTIFS(Events!$A$2:$A$10000,"&gt;="&amp;A192,Events!$A$2:$A$10000,"&lt;"&amp;EDATE(A192,1))</f>
        <v>0</v>
      </c>
      <c r="C192" s="12">
        <f>SUMIFS(Events!$C$2:$C$10000,Events!$A$2:$A$10000,"&gt;="&amp;A192,Events!$A$2:$A$10000,"&lt;"&amp;EDATE(A192,1))</f>
        <v>0</v>
      </c>
      <c r="D192" s="12">
        <f>SUMIFS(Events!$D$2:$D$10000,Events!$A$2:$A$10000,"&gt;="&amp;A192,Events!$A$2:$A$10000,"&lt;"&amp;EDATE(A192,1))</f>
        <v>0</v>
      </c>
      <c r="E192" s="12">
        <f>SUMIFS(Events!$E$2:$E$10000,Events!$A$2:$A$10000,"&gt;="&amp;A192,Events!$A$2:$A$10000,"&lt;"&amp;EDATE(A192,1))</f>
        <v>0</v>
      </c>
      <c r="F192" s="12">
        <f>SUMIFS(Events!$F$2:$F$10000,Events!$A$2:$A$10000,"&gt;="&amp;A192,Events!$A$2:$A$10000,"&lt;"&amp;EDATE(A192,1))</f>
        <v>0</v>
      </c>
      <c r="G192" s="4"/>
    </row>
    <row r="193" spans="1:7" x14ac:dyDescent="0.2">
      <c r="A193" s="11">
        <v>45992</v>
      </c>
      <c r="B193" s="12">
        <f>COUNTIFS(Events!$A$2:$A$10000,"&gt;="&amp;A193,Events!$A$2:$A$10000,"&lt;"&amp;EDATE(A193,1))</f>
        <v>0</v>
      </c>
      <c r="C193" s="12">
        <f>SUMIFS(Events!$C$2:$C$10000,Events!$A$2:$A$10000,"&gt;="&amp;A193,Events!$A$2:$A$10000,"&lt;"&amp;EDATE(A193,1))</f>
        <v>0</v>
      </c>
      <c r="D193" s="12">
        <f>SUMIFS(Events!$D$2:$D$10000,Events!$A$2:$A$10000,"&gt;="&amp;A193,Events!$A$2:$A$10000,"&lt;"&amp;EDATE(A193,1))</f>
        <v>0</v>
      </c>
      <c r="E193" s="12">
        <f>SUMIFS(Events!$E$2:$E$10000,Events!$A$2:$A$10000,"&gt;="&amp;A193,Events!$A$2:$A$10000,"&lt;"&amp;EDATE(A193,1))</f>
        <v>0</v>
      </c>
      <c r="F193" s="12">
        <f>SUMIFS(Events!$F$2:$F$10000,Events!$A$2:$A$10000,"&gt;="&amp;A193,Events!$A$2:$A$10000,"&lt;"&amp;EDATE(A193,1))</f>
        <v>0</v>
      </c>
      <c r="G193" s="4"/>
    </row>
    <row r="194" spans="1:7" x14ac:dyDescent="0.2">
      <c r="A194" s="11">
        <v>46023</v>
      </c>
      <c r="B194" s="12">
        <f>COUNTIFS(Events!$A$2:$A$10000,"&gt;="&amp;A194,Events!$A$2:$A$10000,"&lt;"&amp;EDATE(A194,1))</f>
        <v>0</v>
      </c>
      <c r="C194" s="12">
        <f>SUMIFS(Events!$C$2:$C$10000,Events!$A$2:$A$10000,"&gt;="&amp;A194,Events!$A$2:$A$10000,"&lt;"&amp;EDATE(A194,1))</f>
        <v>0</v>
      </c>
      <c r="D194" s="12">
        <f>SUMIFS(Events!$D$2:$D$10000,Events!$A$2:$A$10000,"&gt;="&amp;A194,Events!$A$2:$A$10000,"&lt;"&amp;EDATE(A194,1))</f>
        <v>0</v>
      </c>
      <c r="E194" s="12">
        <f>SUMIFS(Events!$E$2:$E$10000,Events!$A$2:$A$10000,"&gt;="&amp;A194,Events!$A$2:$A$10000,"&lt;"&amp;EDATE(A194,1))</f>
        <v>0</v>
      </c>
      <c r="F194" s="12">
        <f>SUMIFS(Events!$F$2:$F$10000,Events!$A$2:$A$10000,"&gt;="&amp;A194,Events!$A$2:$A$10000,"&lt;"&amp;EDATE(A194,1))</f>
        <v>0</v>
      </c>
      <c r="G194" s="4"/>
    </row>
    <row r="195" spans="1:7" ht="30" customHeight="1" x14ac:dyDescent="0.2">
      <c r="A195" s="11">
        <v>46054</v>
      </c>
      <c r="B195" s="12">
        <f>COUNTIFS(Events!$A$2:$A$10000,"&gt;="&amp;A195,Events!$A$2:$A$10000,"&lt;"&amp;EDATE(A195,1))</f>
        <v>2</v>
      </c>
      <c r="C195" s="12">
        <f>SUMIFS(Events!$C$2:$C$10000,Events!$A$2:$A$10000,"&gt;="&amp;A195,Events!$A$2:$A$10000,"&lt;"&amp;EDATE(A195,1))</f>
        <v>2</v>
      </c>
      <c r="D195" s="12">
        <f>SUMIFS(Events!$D$2:$D$10000,Events!$A$2:$A$10000,"&gt;="&amp;A195,Events!$A$2:$A$10000,"&lt;"&amp;EDATE(A195,1))</f>
        <v>1</v>
      </c>
      <c r="E195" s="12">
        <f>SUMIFS(Events!$E$2:$E$10000,Events!$A$2:$A$10000,"&gt;="&amp;A195,Events!$A$2:$A$10000,"&lt;"&amp;EDATE(A195,1))</f>
        <v>0</v>
      </c>
      <c r="F195" s="12">
        <f>SUMIFS(Events!$F$2:$F$10000,Events!$A$2:$A$10000,"&gt;="&amp;A195,Events!$A$2:$A$10000,"&lt;"&amp;EDATE(A195,1))</f>
        <v>0</v>
      </c>
      <c r="G195" s="13" t="s">
        <v>547</v>
      </c>
    </row>
    <row r="196" spans="1:7" ht="30" customHeight="1" x14ac:dyDescent="0.2">
      <c r="A196" s="11">
        <v>46082</v>
      </c>
      <c r="B196" s="12">
        <f>COUNTIFS(Events!$A$2:$A$10000,"&gt;="&amp;A196,Events!$A$2:$A$10000,"&lt;"&amp;EDATE(A196,1))</f>
        <v>2</v>
      </c>
      <c r="C196" s="12">
        <f>SUMIFS(Events!$C$2:$C$10000,Events!$A$2:$A$10000,"&gt;="&amp;A196,Events!$A$2:$A$10000,"&lt;"&amp;EDATE(A196,1))</f>
        <v>0</v>
      </c>
      <c r="D196" s="12">
        <f>SUMIFS(Events!$D$2:$D$10000,Events!$A$2:$A$10000,"&gt;="&amp;A196,Events!$A$2:$A$10000,"&lt;"&amp;EDATE(A196,1))</f>
        <v>1</v>
      </c>
      <c r="E196" s="12">
        <f>SUMIFS(Events!$E$2:$E$10000,Events!$A$2:$A$10000,"&gt;="&amp;A196,Events!$A$2:$A$10000,"&lt;"&amp;EDATE(A196,1))</f>
        <v>0</v>
      </c>
      <c r="F196" s="12">
        <f>SUMIFS(Events!$F$2:$F$10000,Events!$A$2:$A$10000,"&gt;="&amp;A196,Events!$A$2:$A$10000,"&lt;"&amp;EDATE(A196,1))</f>
        <v>1</v>
      </c>
      <c r="G196" s="13" t="s">
        <v>548</v>
      </c>
    </row>
    <row r="198" spans="1:7" ht="32" customHeight="1" x14ac:dyDescent="0.2">
      <c r="A198" s="14" t="s">
        <v>549</v>
      </c>
      <c r="B198" s="20" t="s">
        <v>550</v>
      </c>
      <c r="C198" s="19"/>
      <c r="D198" s="19"/>
      <c r="E198" s="19"/>
      <c r="F198" s="19"/>
      <c r="G198" s="19"/>
    </row>
  </sheetData>
  <autoFilter ref="A1:G196" xr:uid="{00000000-0009-0000-0000-000003000000}"/>
  <mergeCells count="1">
    <mergeCell ref="B198:G19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3" customWidth="1"/>
    <col min="3" max="3" width="18" customWidth="1"/>
    <col min="4" max="4" width="16" customWidth="1"/>
    <col min="5" max="5" width="17" customWidth="1"/>
    <col min="6" max="6" width="13" customWidth="1"/>
    <col min="7" max="8" width="27" customWidth="1"/>
    <col min="9" max="9" width="23" customWidth="1"/>
    <col min="10" max="10" width="25" customWidth="1"/>
    <col min="11" max="11" width="21" customWidth="1"/>
    <col min="12" max="12" width="22" customWidth="1"/>
    <col min="13" max="13" width="78" customWidth="1"/>
  </cols>
  <sheetData>
    <row r="1" spans="1:13" ht="45" customHeight="1" x14ac:dyDescent="0.2">
      <c r="A1" s="10" t="s">
        <v>578</v>
      </c>
      <c r="B1" s="10" t="s">
        <v>531</v>
      </c>
      <c r="C1" s="10" t="s">
        <v>551</v>
      </c>
      <c r="D1" s="10" t="s">
        <v>552</v>
      </c>
      <c r="E1" s="10" t="s">
        <v>553</v>
      </c>
      <c r="F1" s="10" t="s">
        <v>554</v>
      </c>
      <c r="G1" s="10" t="s">
        <v>555</v>
      </c>
      <c r="H1" s="10" t="s">
        <v>556</v>
      </c>
      <c r="I1" s="10" t="s">
        <v>557</v>
      </c>
      <c r="J1" s="10" t="s">
        <v>558</v>
      </c>
      <c r="K1" s="10" t="s">
        <v>559</v>
      </c>
      <c r="L1" s="10" t="s">
        <v>560</v>
      </c>
      <c r="M1" s="10" t="s">
        <v>561</v>
      </c>
    </row>
    <row r="2" spans="1:13" ht="34" customHeight="1" x14ac:dyDescent="0.2">
      <c r="A2" s="17">
        <v>2010</v>
      </c>
      <c r="B2" s="12">
        <f>COUNTIFS(Events!$A:$A,"&gt;="&amp;DATE($A2,1,1),Events!$A:$A,"&lt;"&amp;DATE($A2+1,1,1))</f>
        <v>3</v>
      </c>
      <c r="C2" s="12">
        <f>COUNTIFS(Events!$A:$A,"&gt;="&amp;DATE($A2,1,1),Events!$A:$A,"&lt;"&amp;DATE($A2+1,1,1),Events!$C:$C,1)</f>
        <v>2</v>
      </c>
      <c r="D2" s="12">
        <f>COUNTIFS(Events!$A:$A,"&gt;="&amp;DATE($A2,1,1),Events!$A:$A,"&lt;"&amp;DATE($A2+1,1,1),Events!$D:$D,1)</f>
        <v>0</v>
      </c>
      <c r="E2" s="12">
        <f>COUNTIFS(Events!$A:$A,"&gt;="&amp;DATE($A2,1,1),Events!$A:$A,"&lt;"&amp;DATE($A2+1,1,1),Events!$E:$E,1)</f>
        <v>0</v>
      </c>
      <c r="F2" s="12">
        <f>COUNTIFS(Events!$A:$A,"&gt;="&amp;DATE($A2,1,1),Events!$A:$A,"&lt;"&amp;DATE($A2+1,1,1),Events!$F:$F,1)</f>
        <v>1</v>
      </c>
      <c r="G2" s="12">
        <f>COUNTIFS(Events!$A:$A,"&gt;="&amp;DATE($A2,1,1),Events!$A:$A,"&lt;"&amp;DATE($A2+1,1,1),Events!$C:$C,1,Events!$D:$D,1)</f>
        <v>0</v>
      </c>
      <c r="H2" s="12">
        <f>COUNTIFS(Events!$A:$A,"&gt;="&amp;DATE($A2,1,1),Events!$A:$A,"&lt;"&amp;DATE($A2+1,1,1),Events!$C:$C,1,Events!$E:$E,1)</f>
        <v>0</v>
      </c>
      <c r="I2" s="12">
        <f>COUNTIFS(Events!$A:$A,"&gt;="&amp;DATE($A2,1,1),Events!$A:$A,"&lt;"&amp;DATE($A2+1,1,1),Events!$C:$C,1,Events!$F:$F,1)</f>
        <v>0</v>
      </c>
      <c r="J2" s="12">
        <f>COUNTIFS(Events!$A:$A,"&gt;="&amp;DATE($A2,1,1),Events!$A:$A,"&lt;"&amp;DATE($A2+1,1,1),Events!$D:$D,1,Events!$E:$E,1)</f>
        <v>0</v>
      </c>
      <c r="K2" s="12">
        <f>COUNTIFS(Events!$A:$A,"&gt;="&amp;DATE($A2,1,1),Events!$A:$A,"&lt;"&amp;DATE($A2+1,1,1),Events!$D:$D,1,Events!$F:$F,1)</f>
        <v>0</v>
      </c>
      <c r="L2" s="12">
        <f>COUNTIFS(Events!$A:$A,"&gt;="&amp;DATE($A2,1,1),Events!$A:$A,"&lt;"&amp;DATE($A2+1,1,1),Events!$E:$E,1,Events!$F:$F,1)</f>
        <v>0</v>
      </c>
      <c r="M2" s="4" t="s">
        <v>562</v>
      </c>
    </row>
    <row r="3" spans="1:13" ht="34" customHeight="1" x14ac:dyDescent="0.2">
      <c r="A3" s="17">
        <v>2011</v>
      </c>
      <c r="B3" s="12">
        <f>COUNTIFS(Events!$A:$A,"&gt;="&amp;DATE($A3,1,1),Events!$A:$A,"&lt;"&amp;DATE($A3+1,1,1))</f>
        <v>1</v>
      </c>
      <c r="C3" s="12">
        <f>COUNTIFS(Events!$A:$A,"&gt;="&amp;DATE($A3,1,1),Events!$A:$A,"&lt;"&amp;DATE($A3+1,1,1),Events!$C:$C,1)</f>
        <v>1</v>
      </c>
      <c r="D3" s="12">
        <f>COUNTIFS(Events!$A:$A,"&gt;="&amp;DATE($A3,1,1),Events!$A:$A,"&lt;"&amp;DATE($A3+1,1,1),Events!$D:$D,1)</f>
        <v>0</v>
      </c>
      <c r="E3" s="12">
        <f>COUNTIFS(Events!$A:$A,"&gt;="&amp;DATE($A3,1,1),Events!$A:$A,"&lt;"&amp;DATE($A3+1,1,1),Events!$E:$E,1)</f>
        <v>0</v>
      </c>
      <c r="F3" s="12">
        <f>COUNTIFS(Events!$A:$A,"&gt;="&amp;DATE($A3,1,1),Events!$A:$A,"&lt;"&amp;DATE($A3+1,1,1),Events!$F:$F,1)</f>
        <v>0</v>
      </c>
      <c r="G3" s="12">
        <f>COUNTIFS(Events!$A:$A,"&gt;="&amp;DATE($A3,1,1),Events!$A:$A,"&lt;"&amp;DATE($A3+1,1,1),Events!$C:$C,1,Events!$D:$D,1)</f>
        <v>0</v>
      </c>
      <c r="H3" s="12">
        <f>COUNTIFS(Events!$A:$A,"&gt;="&amp;DATE($A3,1,1),Events!$A:$A,"&lt;"&amp;DATE($A3+1,1,1),Events!$C:$C,1,Events!$E:$E,1)</f>
        <v>0</v>
      </c>
      <c r="I3" s="12">
        <f>COUNTIFS(Events!$A:$A,"&gt;="&amp;DATE($A3,1,1),Events!$A:$A,"&lt;"&amp;DATE($A3+1,1,1),Events!$C:$C,1,Events!$F:$F,1)</f>
        <v>0</v>
      </c>
      <c r="J3" s="12">
        <f>COUNTIFS(Events!$A:$A,"&gt;="&amp;DATE($A3,1,1),Events!$A:$A,"&lt;"&amp;DATE($A3+1,1,1),Events!$D:$D,1,Events!$E:$E,1)</f>
        <v>0</v>
      </c>
      <c r="K3" s="12">
        <f>COUNTIFS(Events!$A:$A,"&gt;="&amp;DATE($A3,1,1),Events!$A:$A,"&lt;"&amp;DATE($A3+1,1,1),Events!$D:$D,1,Events!$F:$F,1)</f>
        <v>0</v>
      </c>
      <c r="L3" s="12">
        <f>COUNTIFS(Events!$A:$A,"&gt;="&amp;DATE($A3,1,1),Events!$A:$A,"&lt;"&amp;DATE($A3+1,1,1),Events!$E:$E,1,Events!$F:$F,1)</f>
        <v>0</v>
      </c>
      <c r="M3" s="4" t="s">
        <v>563</v>
      </c>
    </row>
    <row r="4" spans="1:13" ht="34" customHeight="1" x14ac:dyDescent="0.2">
      <c r="A4" s="17">
        <v>2012</v>
      </c>
      <c r="B4" s="12">
        <f>COUNTIFS(Events!$A:$A,"&gt;="&amp;DATE($A4,1,1),Events!$A:$A,"&lt;"&amp;DATE($A4+1,1,1))</f>
        <v>1</v>
      </c>
      <c r="C4" s="12">
        <f>COUNTIFS(Events!$A:$A,"&gt;="&amp;DATE($A4,1,1),Events!$A:$A,"&lt;"&amp;DATE($A4+1,1,1),Events!$C:$C,1)</f>
        <v>0</v>
      </c>
      <c r="D4" s="12">
        <f>COUNTIFS(Events!$A:$A,"&gt;="&amp;DATE($A4,1,1),Events!$A:$A,"&lt;"&amp;DATE($A4+1,1,1),Events!$D:$D,1)</f>
        <v>0</v>
      </c>
      <c r="E4" s="12">
        <f>COUNTIFS(Events!$A:$A,"&gt;="&amp;DATE($A4,1,1),Events!$A:$A,"&lt;"&amp;DATE($A4+1,1,1),Events!$E:$E,1)</f>
        <v>0</v>
      </c>
      <c r="F4" s="12">
        <f>COUNTIFS(Events!$A:$A,"&gt;="&amp;DATE($A4,1,1),Events!$A:$A,"&lt;"&amp;DATE($A4+1,1,1),Events!$F:$F,1)</f>
        <v>1</v>
      </c>
      <c r="G4" s="12">
        <f>COUNTIFS(Events!$A:$A,"&gt;="&amp;DATE($A4,1,1),Events!$A:$A,"&lt;"&amp;DATE($A4+1,1,1),Events!$C:$C,1,Events!$D:$D,1)</f>
        <v>0</v>
      </c>
      <c r="H4" s="12">
        <f>COUNTIFS(Events!$A:$A,"&gt;="&amp;DATE($A4,1,1),Events!$A:$A,"&lt;"&amp;DATE($A4+1,1,1),Events!$C:$C,1,Events!$E:$E,1)</f>
        <v>0</v>
      </c>
      <c r="I4" s="12">
        <f>COUNTIFS(Events!$A:$A,"&gt;="&amp;DATE($A4,1,1),Events!$A:$A,"&lt;"&amp;DATE($A4+1,1,1),Events!$C:$C,1,Events!$F:$F,1)</f>
        <v>0</v>
      </c>
      <c r="J4" s="12">
        <f>COUNTIFS(Events!$A:$A,"&gt;="&amp;DATE($A4,1,1),Events!$A:$A,"&lt;"&amp;DATE($A4+1,1,1),Events!$D:$D,1,Events!$E:$E,1)</f>
        <v>0</v>
      </c>
      <c r="K4" s="12">
        <f>COUNTIFS(Events!$A:$A,"&gt;="&amp;DATE($A4,1,1),Events!$A:$A,"&lt;"&amp;DATE($A4+1,1,1),Events!$D:$D,1,Events!$F:$F,1)</f>
        <v>0</v>
      </c>
      <c r="L4" s="12">
        <f>COUNTIFS(Events!$A:$A,"&gt;="&amp;DATE($A4,1,1),Events!$A:$A,"&lt;"&amp;DATE($A4+1,1,1),Events!$E:$E,1,Events!$F:$F,1)</f>
        <v>0</v>
      </c>
      <c r="M4" s="4" t="s">
        <v>564</v>
      </c>
    </row>
    <row r="5" spans="1:13" ht="34" customHeight="1" x14ac:dyDescent="0.2">
      <c r="A5" s="17">
        <v>2013</v>
      </c>
      <c r="B5" s="12">
        <f>COUNTIFS(Events!$A:$A,"&gt;="&amp;DATE($A5,1,1),Events!$A:$A,"&lt;"&amp;DATE($A5+1,1,1))</f>
        <v>5</v>
      </c>
      <c r="C5" s="12">
        <f>COUNTIFS(Events!$A:$A,"&gt;="&amp;DATE($A5,1,1),Events!$A:$A,"&lt;"&amp;DATE($A5+1,1,1),Events!$C:$C,1)</f>
        <v>4</v>
      </c>
      <c r="D5" s="12">
        <f>COUNTIFS(Events!$A:$A,"&gt;="&amp;DATE($A5,1,1),Events!$A:$A,"&lt;"&amp;DATE($A5+1,1,1),Events!$D:$D,1)</f>
        <v>0</v>
      </c>
      <c r="E5" s="12">
        <f>COUNTIFS(Events!$A:$A,"&gt;="&amp;DATE($A5,1,1),Events!$A:$A,"&lt;"&amp;DATE($A5+1,1,1),Events!$E:$E,1)</f>
        <v>0</v>
      </c>
      <c r="F5" s="12">
        <f>COUNTIFS(Events!$A:$A,"&gt;="&amp;DATE($A5,1,1),Events!$A:$A,"&lt;"&amp;DATE($A5+1,1,1),Events!$F:$F,1)</f>
        <v>1</v>
      </c>
      <c r="G5" s="12">
        <f>COUNTIFS(Events!$A:$A,"&gt;="&amp;DATE($A5,1,1),Events!$A:$A,"&lt;"&amp;DATE($A5+1,1,1),Events!$C:$C,1,Events!$D:$D,1)</f>
        <v>0</v>
      </c>
      <c r="H5" s="12">
        <f>COUNTIFS(Events!$A:$A,"&gt;="&amp;DATE($A5,1,1),Events!$A:$A,"&lt;"&amp;DATE($A5+1,1,1),Events!$C:$C,1,Events!$E:$E,1)</f>
        <v>0</v>
      </c>
      <c r="I5" s="12">
        <f>COUNTIFS(Events!$A:$A,"&gt;="&amp;DATE($A5,1,1),Events!$A:$A,"&lt;"&amp;DATE($A5+1,1,1),Events!$C:$C,1,Events!$F:$F,1)</f>
        <v>0</v>
      </c>
      <c r="J5" s="12">
        <f>COUNTIFS(Events!$A:$A,"&gt;="&amp;DATE($A5,1,1),Events!$A:$A,"&lt;"&amp;DATE($A5+1,1,1),Events!$D:$D,1,Events!$E:$E,1)</f>
        <v>0</v>
      </c>
      <c r="K5" s="12">
        <f>COUNTIFS(Events!$A:$A,"&gt;="&amp;DATE($A5,1,1),Events!$A:$A,"&lt;"&amp;DATE($A5+1,1,1),Events!$D:$D,1,Events!$F:$F,1)</f>
        <v>0</v>
      </c>
      <c r="L5" s="12">
        <f>COUNTIFS(Events!$A:$A,"&gt;="&amp;DATE($A5,1,1),Events!$A:$A,"&lt;"&amp;DATE($A5+1,1,1),Events!$E:$E,1,Events!$F:$F,1)</f>
        <v>0</v>
      </c>
      <c r="M5" s="4" t="s">
        <v>565</v>
      </c>
    </row>
    <row r="6" spans="1:13" ht="34" customHeight="1" x14ac:dyDescent="0.2">
      <c r="A6" s="17">
        <v>2014</v>
      </c>
      <c r="B6" s="12">
        <f>COUNTIFS(Events!$A:$A,"&gt;="&amp;DATE($A6,1,1),Events!$A:$A,"&lt;"&amp;DATE($A6+1,1,1))</f>
        <v>2</v>
      </c>
      <c r="C6" s="12">
        <f>COUNTIFS(Events!$A:$A,"&gt;="&amp;DATE($A6,1,1),Events!$A:$A,"&lt;"&amp;DATE($A6+1,1,1),Events!$C:$C,1)</f>
        <v>2</v>
      </c>
      <c r="D6" s="12">
        <f>COUNTIFS(Events!$A:$A,"&gt;="&amp;DATE($A6,1,1),Events!$A:$A,"&lt;"&amp;DATE($A6+1,1,1),Events!$D:$D,1)</f>
        <v>0</v>
      </c>
      <c r="E6" s="12">
        <f>COUNTIFS(Events!$A:$A,"&gt;="&amp;DATE($A6,1,1),Events!$A:$A,"&lt;"&amp;DATE($A6+1,1,1),Events!$E:$E,1)</f>
        <v>0</v>
      </c>
      <c r="F6" s="12">
        <f>COUNTIFS(Events!$A:$A,"&gt;="&amp;DATE($A6,1,1),Events!$A:$A,"&lt;"&amp;DATE($A6+1,1,1),Events!$F:$F,1)</f>
        <v>0</v>
      </c>
      <c r="G6" s="12">
        <f>COUNTIFS(Events!$A:$A,"&gt;="&amp;DATE($A6,1,1),Events!$A:$A,"&lt;"&amp;DATE($A6+1,1,1),Events!$C:$C,1,Events!$D:$D,1)</f>
        <v>0</v>
      </c>
      <c r="H6" s="12">
        <f>COUNTIFS(Events!$A:$A,"&gt;="&amp;DATE($A6,1,1),Events!$A:$A,"&lt;"&amp;DATE($A6+1,1,1),Events!$C:$C,1,Events!$E:$E,1)</f>
        <v>0</v>
      </c>
      <c r="I6" s="12">
        <f>COUNTIFS(Events!$A:$A,"&gt;="&amp;DATE($A6,1,1),Events!$A:$A,"&lt;"&amp;DATE($A6+1,1,1),Events!$C:$C,1,Events!$F:$F,1)</f>
        <v>0</v>
      </c>
      <c r="J6" s="12">
        <f>COUNTIFS(Events!$A:$A,"&gt;="&amp;DATE($A6,1,1),Events!$A:$A,"&lt;"&amp;DATE($A6+1,1,1),Events!$D:$D,1,Events!$E:$E,1)</f>
        <v>0</v>
      </c>
      <c r="K6" s="12">
        <f>COUNTIFS(Events!$A:$A,"&gt;="&amp;DATE($A6,1,1),Events!$A:$A,"&lt;"&amp;DATE($A6+1,1,1),Events!$D:$D,1,Events!$F:$F,1)</f>
        <v>0</v>
      </c>
      <c r="L6" s="12">
        <f>COUNTIFS(Events!$A:$A,"&gt;="&amp;DATE($A6,1,1),Events!$A:$A,"&lt;"&amp;DATE($A6+1,1,1),Events!$E:$E,1,Events!$F:$F,1)</f>
        <v>0</v>
      </c>
      <c r="M6" s="4" t="s">
        <v>566</v>
      </c>
    </row>
    <row r="7" spans="1:13" ht="34" customHeight="1" x14ac:dyDescent="0.2">
      <c r="A7" s="17">
        <v>2015</v>
      </c>
      <c r="B7" s="12">
        <f>COUNTIFS(Events!$A:$A,"&gt;="&amp;DATE($A7,1,1),Events!$A:$A,"&lt;"&amp;DATE($A7+1,1,1))</f>
        <v>2</v>
      </c>
      <c r="C7" s="12">
        <f>COUNTIFS(Events!$A:$A,"&gt;="&amp;DATE($A7,1,1),Events!$A:$A,"&lt;"&amp;DATE($A7+1,1,1),Events!$C:$C,1)</f>
        <v>2</v>
      </c>
      <c r="D7" s="12">
        <f>COUNTIFS(Events!$A:$A,"&gt;="&amp;DATE($A7,1,1),Events!$A:$A,"&lt;"&amp;DATE($A7+1,1,1),Events!$D:$D,1)</f>
        <v>0</v>
      </c>
      <c r="E7" s="12">
        <f>COUNTIFS(Events!$A:$A,"&gt;="&amp;DATE($A7,1,1),Events!$A:$A,"&lt;"&amp;DATE($A7+1,1,1),Events!$E:$E,1)</f>
        <v>0</v>
      </c>
      <c r="F7" s="12">
        <f>COUNTIFS(Events!$A:$A,"&gt;="&amp;DATE($A7,1,1),Events!$A:$A,"&lt;"&amp;DATE($A7+1,1,1),Events!$F:$F,1)</f>
        <v>0</v>
      </c>
      <c r="G7" s="12">
        <f>COUNTIFS(Events!$A:$A,"&gt;="&amp;DATE($A7,1,1),Events!$A:$A,"&lt;"&amp;DATE($A7+1,1,1),Events!$C:$C,1,Events!$D:$D,1)</f>
        <v>0</v>
      </c>
      <c r="H7" s="12">
        <f>COUNTIFS(Events!$A:$A,"&gt;="&amp;DATE($A7,1,1),Events!$A:$A,"&lt;"&amp;DATE($A7+1,1,1),Events!$C:$C,1,Events!$E:$E,1)</f>
        <v>0</v>
      </c>
      <c r="I7" s="12">
        <f>COUNTIFS(Events!$A:$A,"&gt;="&amp;DATE($A7,1,1),Events!$A:$A,"&lt;"&amp;DATE($A7+1,1,1),Events!$C:$C,1,Events!$F:$F,1)</f>
        <v>0</v>
      </c>
      <c r="J7" s="12">
        <f>COUNTIFS(Events!$A:$A,"&gt;="&amp;DATE($A7,1,1),Events!$A:$A,"&lt;"&amp;DATE($A7+1,1,1),Events!$D:$D,1,Events!$E:$E,1)</f>
        <v>0</v>
      </c>
      <c r="K7" s="12">
        <f>COUNTIFS(Events!$A:$A,"&gt;="&amp;DATE($A7,1,1),Events!$A:$A,"&lt;"&amp;DATE($A7+1,1,1),Events!$D:$D,1,Events!$F:$F,1)</f>
        <v>0</v>
      </c>
      <c r="L7" s="12">
        <f>COUNTIFS(Events!$A:$A,"&gt;="&amp;DATE($A7,1,1),Events!$A:$A,"&lt;"&amp;DATE($A7+1,1,1),Events!$E:$E,1,Events!$F:$F,1)</f>
        <v>0</v>
      </c>
      <c r="M7" s="4" t="s">
        <v>567</v>
      </c>
    </row>
    <row r="8" spans="1:13" ht="34" customHeight="1" x14ac:dyDescent="0.2">
      <c r="A8" s="17">
        <v>2016</v>
      </c>
      <c r="B8" s="12">
        <f>COUNTIFS(Events!$A:$A,"&gt;="&amp;DATE($A8,1,1),Events!$A:$A,"&lt;"&amp;DATE($A8+1,1,1))</f>
        <v>7</v>
      </c>
      <c r="C8" s="12">
        <f>COUNTIFS(Events!$A:$A,"&gt;="&amp;DATE($A8,1,1),Events!$A:$A,"&lt;"&amp;DATE($A8+1,1,1),Events!$C:$C,1)</f>
        <v>5</v>
      </c>
      <c r="D8" s="12">
        <f>COUNTIFS(Events!$A:$A,"&gt;="&amp;DATE($A8,1,1),Events!$A:$A,"&lt;"&amp;DATE($A8+1,1,1),Events!$D:$D,1)</f>
        <v>0</v>
      </c>
      <c r="E8" s="12">
        <f>COUNTIFS(Events!$A:$A,"&gt;="&amp;DATE($A8,1,1),Events!$A:$A,"&lt;"&amp;DATE($A8+1,1,1),Events!$E:$E,1)</f>
        <v>0</v>
      </c>
      <c r="F8" s="12">
        <f>COUNTIFS(Events!$A:$A,"&gt;="&amp;DATE($A8,1,1),Events!$A:$A,"&lt;"&amp;DATE($A8+1,1,1),Events!$F:$F,1)</f>
        <v>2</v>
      </c>
      <c r="G8" s="12">
        <f>COUNTIFS(Events!$A:$A,"&gt;="&amp;DATE($A8,1,1),Events!$A:$A,"&lt;"&amp;DATE($A8+1,1,1),Events!$C:$C,1,Events!$D:$D,1)</f>
        <v>0</v>
      </c>
      <c r="H8" s="12">
        <f>COUNTIFS(Events!$A:$A,"&gt;="&amp;DATE($A8,1,1),Events!$A:$A,"&lt;"&amp;DATE($A8+1,1,1),Events!$C:$C,1,Events!$E:$E,1)</f>
        <v>0</v>
      </c>
      <c r="I8" s="12">
        <f>COUNTIFS(Events!$A:$A,"&gt;="&amp;DATE($A8,1,1),Events!$A:$A,"&lt;"&amp;DATE($A8+1,1,1),Events!$C:$C,1,Events!$F:$F,1)</f>
        <v>0</v>
      </c>
      <c r="J8" s="12">
        <f>COUNTIFS(Events!$A:$A,"&gt;="&amp;DATE($A8,1,1),Events!$A:$A,"&lt;"&amp;DATE($A8+1,1,1),Events!$D:$D,1,Events!$E:$E,1)</f>
        <v>0</v>
      </c>
      <c r="K8" s="12">
        <f>COUNTIFS(Events!$A:$A,"&gt;="&amp;DATE($A8,1,1),Events!$A:$A,"&lt;"&amp;DATE($A8+1,1,1),Events!$D:$D,1,Events!$F:$F,1)</f>
        <v>0</v>
      </c>
      <c r="L8" s="12">
        <f>COUNTIFS(Events!$A:$A,"&gt;="&amp;DATE($A8,1,1),Events!$A:$A,"&lt;"&amp;DATE($A8+1,1,1),Events!$E:$E,1,Events!$F:$F,1)</f>
        <v>0</v>
      </c>
      <c r="M8" s="4" t="s">
        <v>568</v>
      </c>
    </row>
    <row r="9" spans="1:13" ht="34" customHeight="1" x14ac:dyDescent="0.2">
      <c r="A9" s="17">
        <v>2017</v>
      </c>
      <c r="B9" s="12">
        <f>COUNTIFS(Events!$A:$A,"&gt;="&amp;DATE($A9,1,1),Events!$A:$A,"&lt;"&amp;DATE($A9+1,1,1))</f>
        <v>1</v>
      </c>
      <c r="C9" s="12">
        <f>COUNTIFS(Events!$A:$A,"&gt;="&amp;DATE($A9,1,1),Events!$A:$A,"&lt;"&amp;DATE($A9+1,1,1),Events!$C:$C,1)</f>
        <v>0</v>
      </c>
      <c r="D9" s="12">
        <f>COUNTIFS(Events!$A:$A,"&gt;="&amp;DATE($A9,1,1),Events!$A:$A,"&lt;"&amp;DATE($A9+1,1,1),Events!$D:$D,1)</f>
        <v>0</v>
      </c>
      <c r="E9" s="12">
        <f>COUNTIFS(Events!$A:$A,"&gt;="&amp;DATE($A9,1,1),Events!$A:$A,"&lt;"&amp;DATE($A9+1,1,1),Events!$E:$E,1)</f>
        <v>0</v>
      </c>
      <c r="F9" s="12">
        <f>COUNTIFS(Events!$A:$A,"&gt;="&amp;DATE($A9,1,1),Events!$A:$A,"&lt;"&amp;DATE($A9+1,1,1),Events!$F:$F,1)</f>
        <v>1</v>
      </c>
      <c r="G9" s="12">
        <f>COUNTIFS(Events!$A:$A,"&gt;="&amp;DATE($A9,1,1),Events!$A:$A,"&lt;"&amp;DATE($A9+1,1,1),Events!$C:$C,1,Events!$D:$D,1)</f>
        <v>0</v>
      </c>
      <c r="H9" s="12">
        <f>COUNTIFS(Events!$A:$A,"&gt;="&amp;DATE($A9,1,1),Events!$A:$A,"&lt;"&amp;DATE($A9+1,1,1),Events!$C:$C,1,Events!$E:$E,1)</f>
        <v>0</v>
      </c>
      <c r="I9" s="12">
        <f>COUNTIFS(Events!$A:$A,"&gt;="&amp;DATE($A9,1,1),Events!$A:$A,"&lt;"&amp;DATE($A9+1,1,1),Events!$C:$C,1,Events!$F:$F,1)</f>
        <v>0</v>
      </c>
      <c r="J9" s="12">
        <f>COUNTIFS(Events!$A:$A,"&gt;="&amp;DATE($A9,1,1),Events!$A:$A,"&lt;"&amp;DATE($A9+1,1,1),Events!$D:$D,1,Events!$E:$E,1)</f>
        <v>0</v>
      </c>
      <c r="K9" s="12">
        <f>COUNTIFS(Events!$A:$A,"&gt;="&amp;DATE($A9,1,1),Events!$A:$A,"&lt;"&amp;DATE($A9+1,1,1),Events!$D:$D,1,Events!$F:$F,1)</f>
        <v>0</v>
      </c>
      <c r="L9" s="12">
        <f>COUNTIFS(Events!$A:$A,"&gt;="&amp;DATE($A9,1,1),Events!$A:$A,"&lt;"&amp;DATE($A9+1,1,1),Events!$E:$E,1,Events!$F:$F,1)</f>
        <v>0</v>
      </c>
      <c r="M9" s="4" t="s">
        <v>569</v>
      </c>
    </row>
    <row r="10" spans="1:13" ht="34" customHeight="1" x14ac:dyDescent="0.2">
      <c r="A10" s="17">
        <v>2018</v>
      </c>
      <c r="B10" s="12">
        <f>COUNTIFS(Events!$A:$A,"&gt;="&amp;DATE($A10,1,1),Events!$A:$A,"&lt;"&amp;DATE($A10+1,1,1))</f>
        <v>6</v>
      </c>
      <c r="C10" s="12">
        <f>COUNTIFS(Events!$A:$A,"&gt;="&amp;DATE($A10,1,1),Events!$A:$A,"&lt;"&amp;DATE($A10+1,1,1),Events!$C:$C,1)</f>
        <v>3</v>
      </c>
      <c r="D10" s="12">
        <f>COUNTIFS(Events!$A:$A,"&gt;="&amp;DATE($A10,1,1),Events!$A:$A,"&lt;"&amp;DATE($A10+1,1,1),Events!$D:$D,1)</f>
        <v>0</v>
      </c>
      <c r="E10" s="12">
        <f>COUNTIFS(Events!$A:$A,"&gt;="&amp;DATE($A10,1,1),Events!$A:$A,"&lt;"&amp;DATE($A10+1,1,1),Events!$E:$E,1)</f>
        <v>2</v>
      </c>
      <c r="F10" s="12">
        <f>COUNTIFS(Events!$A:$A,"&gt;="&amp;DATE($A10,1,1),Events!$A:$A,"&lt;"&amp;DATE($A10+1,1,1),Events!$F:$F,1)</f>
        <v>1</v>
      </c>
      <c r="G10" s="12">
        <f>COUNTIFS(Events!$A:$A,"&gt;="&amp;DATE($A10,1,1),Events!$A:$A,"&lt;"&amp;DATE($A10+1,1,1),Events!$C:$C,1,Events!$D:$D,1)</f>
        <v>0</v>
      </c>
      <c r="H10" s="12">
        <f>COUNTIFS(Events!$A:$A,"&gt;="&amp;DATE($A10,1,1),Events!$A:$A,"&lt;"&amp;DATE($A10+1,1,1),Events!$C:$C,1,Events!$E:$E,1)</f>
        <v>0</v>
      </c>
      <c r="I10" s="12">
        <f>COUNTIFS(Events!$A:$A,"&gt;="&amp;DATE($A10,1,1),Events!$A:$A,"&lt;"&amp;DATE($A10+1,1,1),Events!$C:$C,1,Events!$F:$F,1)</f>
        <v>0</v>
      </c>
      <c r="J10" s="12">
        <f>COUNTIFS(Events!$A:$A,"&gt;="&amp;DATE($A10,1,1),Events!$A:$A,"&lt;"&amp;DATE($A10+1,1,1),Events!$D:$D,1,Events!$E:$E,1)</f>
        <v>0</v>
      </c>
      <c r="K10" s="12">
        <f>COUNTIFS(Events!$A:$A,"&gt;="&amp;DATE($A10,1,1),Events!$A:$A,"&lt;"&amp;DATE($A10+1,1,1),Events!$D:$D,1,Events!$F:$F,1)</f>
        <v>0</v>
      </c>
      <c r="L10" s="12">
        <f>COUNTIFS(Events!$A:$A,"&gt;="&amp;DATE($A10,1,1),Events!$A:$A,"&lt;"&amp;DATE($A10+1,1,1),Events!$E:$E,1,Events!$F:$F,1)</f>
        <v>0</v>
      </c>
      <c r="M10" s="4" t="s">
        <v>570</v>
      </c>
    </row>
    <row r="11" spans="1:13" ht="34" customHeight="1" x14ac:dyDescent="0.2">
      <c r="A11" s="17">
        <v>2019</v>
      </c>
      <c r="B11" s="12">
        <f>COUNTIFS(Events!$A:$A,"&gt;="&amp;DATE($A11,1,1),Events!$A:$A,"&lt;"&amp;DATE($A11+1,1,1))</f>
        <v>1</v>
      </c>
      <c r="C11" s="12">
        <f>COUNTIFS(Events!$A:$A,"&gt;="&amp;DATE($A11,1,1),Events!$A:$A,"&lt;"&amp;DATE($A11+1,1,1),Events!$C:$C,1)</f>
        <v>0</v>
      </c>
      <c r="D11" s="12">
        <f>COUNTIFS(Events!$A:$A,"&gt;="&amp;DATE($A11,1,1),Events!$A:$A,"&lt;"&amp;DATE($A11+1,1,1),Events!$D:$D,1)</f>
        <v>0</v>
      </c>
      <c r="E11" s="12">
        <f>COUNTIFS(Events!$A:$A,"&gt;="&amp;DATE($A11,1,1),Events!$A:$A,"&lt;"&amp;DATE($A11+1,1,1),Events!$E:$E,1)</f>
        <v>0</v>
      </c>
      <c r="F11" s="12">
        <f>COUNTIFS(Events!$A:$A,"&gt;="&amp;DATE($A11,1,1),Events!$A:$A,"&lt;"&amp;DATE($A11+1,1,1),Events!$F:$F,1)</f>
        <v>1</v>
      </c>
      <c r="G11" s="12">
        <f>COUNTIFS(Events!$A:$A,"&gt;="&amp;DATE($A11,1,1),Events!$A:$A,"&lt;"&amp;DATE($A11+1,1,1),Events!$C:$C,1,Events!$D:$D,1)</f>
        <v>0</v>
      </c>
      <c r="H11" s="12">
        <f>COUNTIFS(Events!$A:$A,"&gt;="&amp;DATE($A11,1,1),Events!$A:$A,"&lt;"&amp;DATE($A11+1,1,1),Events!$C:$C,1,Events!$E:$E,1)</f>
        <v>0</v>
      </c>
      <c r="I11" s="12">
        <f>COUNTIFS(Events!$A:$A,"&gt;="&amp;DATE($A11,1,1),Events!$A:$A,"&lt;"&amp;DATE($A11+1,1,1),Events!$C:$C,1,Events!$F:$F,1)</f>
        <v>0</v>
      </c>
      <c r="J11" s="12">
        <f>COUNTIFS(Events!$A:$A,"&gt;="&amp;DATE($A11,1,1),Events!$A:$A,"&lt;"&amp;DATE($A11+1,1,1),Events!$D:$D,1,Events!$E:$E,1)</f>
        <v>0</v>
      </c>
      <c r="K11" s="12">
        <f>COUNTIFS(Events!$A:$A,"&gt;="&amp;DATE($A11,1,1),Events!$A:$A,"&lt;"&amp;DATE($A11+1,1,1),Events!$D:$D,1,Events!$F:$F,1)</f>
        <v>0</v>
      </c>
      <c r="L11" s="12">
        <f>COUNTIFS(Events!$A:$A,"&gt;="&amp;DATE($A11,1,1),Events!$A:$A,"&lt;"&amp;DATE($A11+1,1,1),Events!$E:$E,1,Events!$F:$F,1)</f>
        <v>0</v>
      </c>
      <c r="M11" s="4" t="s">
        <v>571</v>
      </c>
    </row>
    <row r="12" spans="1:13" ht="34" customHeight="1" x14ac:dyDescent="0.2">
      <c r="A12" s="17">
        <v>2020</v>
      </c>
      <c r="B12" s="12">
        <f>COUNTIFS(Events!$A:$A,"&gt;="&amp;DATE($A12,1,1),Events!$A:$A,"&lt;"&amp;DATE($A12+1,1,1))</f>
        <v>4</v>
      </c>
      <c r="C12" s="12">
        <f>COUNTIFS(Events!$A:$A,"&gt;="&amp;DATE($A12,1,1),Events!$A:$A,"&lt;"&amp;DATE($A12+1,1,1),Events!$C:$C,1)</f>
        <v>3</v>
      </c>
      <c r="D12" s="12">
        <f>COUNTIFS(Events!$A:$A,"&gt;="&amp;DATE($A12,1,1),Events!$A:$A,"&lt;"&amp;DATE($A12+1,1,1),Events!$D:$D,1)</f>
        <v>0</v>
      </c>
      <c r="E12" s="12">
        <f>COUNTIFS(Events!$A:$A,"&gt;="&amp;DATE($A12,1,1),Events!$A:$A,"&lt;"&amp;DATE($A12+1,1,1),Events!$E:$E,1)</f>
        <v>1</v>
      </c>
      <c r="F12" s="12">
        <f>COUNTIFS(Events!$A:$A,"&gt;="&amp;DATE($A12,1,1),Events!$A:$A,"&lt;"&amp;DATE($A12+1,1,1),Events!$F:$F,1)</f>
        <v>0</v>
      </c>
      <c r="G12" s="12">
        <f>COUNTIFS(Events!$A:$A,"&gt;="&amp;DATE($A12,1,1),Events!$A:$A,"&lt;"&amp;DATE($A12+1,1,1),Events!$C:$C,1,Events!$D:$D,1)</f>
        <v>0</v>
      </c>
      <c r="H12" s="12">
        <f>COUNTIFS(Events!$A:$A,"&gt;="&amp;DATE($A12,1,1),Events!$A:$A,"&lt;"&amp;DATE($A12+1,1,1),Events!$C:$C,1,Events!$E:$E,1)</f>
        <v>0</v>
      </c>
      <c r="I12" s="12">
        <f>COUNTIFS(Events!$A:$A,"&gt;="&amp;DATE($A12,1,1),Events!$A:$A,"&lt;"&amp;DATE($A12+1,1,1),Events!$C:$C,1,Events!$F:$F,1)</f>
        <v>0</v>
      </c>
      <c r="J12" s="12">
        <f>COUNTIFS(Events!$A:$A,"&gt;="&amp;DATE($A12,1,1),Events!$A:$A,"&lt;"&amp;DATE($A12+1,1,1),Events!$D:$D,1,Events!$E:$E,1)</f>
        <v>0</v>
      </c>
      <c r="K12" s="12">
        <f>COUNTIFS(Events!$A:$A,"&gt;="&amp;DATE($A12,1,1),Events!$A:$A,"&lt;"&amp;DATE($A12+1,1,1),Events!$D:$D,1,Events!$F:$F,1)</f>
        <v>0</v>
      </c>
      <c r="L12" s="12">
        <f>COUNTIFS(Events!$A:$A,"&gt;="&amp;DATE($A12,1,1),Events!$A:$A,"&lt;"&amp;DATE($A12+1,1,1),Events!$E:$E,1,Events!$F:$F,1)</f>
        <v>0</v>
      </c>
      <c r="M12" s="4" t="s">
        <v>572</v>
      </c>
    </row>
    <row r="13" spans="1:13" ht="34" customHeight="1" x14ac:dyDescent="0.2">
      <c r="A13" s="17">
        <v>2021</v>
      </c>
      <c r="B13" s="12">
        <f>COUNTIFS(Events!$A:$A,"&gt;="&amp;DATE($A13,1,1),Events!$A:$A,"&lt;"&amp;DATE($A13+1,1,1))</f>
        <v>3</v>
      </c>
      <c r="C13" s="12">
        <f>COUNTIFS(Events!$A:$A,"&gt;="&amp;DATE($A13,1,1),Events!$A:$A,"&lt;"&amp;DATE($A13+1,1,1),Events!$C:$C,1)</f>
        <v>3</v>
      </c>
      <c r="D13" s="12">
        <f>COUNTIFS(Events!$A:$A,"&gt;="&amp;DATE($A13,1,1),Events!$A:$A,"&lt;"&amp;DATE($A13+1,1,1),Events!$D:$D,1)</f>
        <v>0</v>
      </c>
      <c r="E13" s="12">
        <f>COUNTIFS(Events!$A:$A,"&gt;="&amp;DATE($A13,1,1),Events!$A:$A,"&lt;"&amp;DATE($A13+1,1,1),Events!$E:$E,1)</f>
        <v>0</v>
      </c>
      <c r="F13" s="12">
        <f>COUNTIFS(Events!$A:$A,"&gt;="&amp;DATE($A13,1,1),Events!$A:$A,"&lt;"&amp;DATE($A13+1,1,1),Events!$F:$F,1)</f>
        <v>0</v>
      </c>
      <c r="G13" s="12">
        <f>COUNTIFS(Events!$A:$A,"&gt;="&amp;DATE($A13,1,1),Events!$A:$A,"&lt;"&amp;DATE($A13+1,1,1),Events!$C:$C,1,Events!$D:$D,1)</f>
        <v>0</v>
      </c>
      <c r="H13" s="12">
        <f>COUNTIFS(Events!$A:$A,"&gt;="&amp;DATE($A13,1,1),Events!$A:$A,"&lt;"&amp;DATE($A13+1,1,1),Events!$C:$C,1,Events!$E:$E,1)</f>
        <v>0</v>
      </c>
      <c r="I13" s="12">
        <f>COUNTIFS(Events!$A:$A,"&gt;="&amp;DATE($A13,1,1),Events!$A:$A,"&lt;"&amp;DATE($A13+1,1,1),Events!$C:$C,1,Events!$F:$F,1)</f>
        <v>0</v>
      </c>
      <c r="J13" s="12">
        <f>COUNTIFS(Events!$A:$A,"&gt;="&amp;DATE($A13,1,1),Events!$A:$A,"&lt;"&amp;DATE($A13+1,1,1),Events!$D:$D,1,Events!$E:$E,1)</f>
        <v>0</v>
      </c>
      <c r="K13" s="12">
        <f>COUNTIFS(Events!$A:$A,"&gt;="&amp;DATE($A13,1,1),Events!$A:$A,"&lt;"&amp;DATE($A13+1,1,1),Events!$D:$D,1,Events!$F:$F,1)</f>
        <v>0</v>
      </c>
      <c r="L13" s="12">
        <f>COUNTIFS(Events!$A:$A,"&gt;="&amp;DATE($A13,1,1),Events!$A:$A,"&lt;"&amp;DATE($A13+1,1,1),Events!$E:$E,1,Events!$F:$F,1)</f>
        <v>0</v>
      </c>
      <c r="M13" s="4" t="s">
        <v>573</v>
      </c>
    </row>
    <row r="14" spans="1:13" ht="34" customHeight="1" x14ac:dyDescent="0.2">
      <c r="A14" s="17">
        <v>2022</v>
      </c>
      <c r="B14" s="12">
        <f>COUNTIFS(Events!$A:$A,"&gt;="&amp;DATE($A14,1,1),Events!$A:$A,"&lt;"&amp;DATE($A14+1,1,1))</f>
        <v>0</v>
      </c>
      <c r="C14" s="12">
        <f>COUNTIFS(Events!$A:$A,"&gt;="&amp;DATE($A14,1,1),Events!$A:$A,"&lt;"&amp;DATE($A14+1,1,1),Events!$C:$C,1)</f>
        <v>0</v>
      </c>
      <c r="D14" s="12">
        <f>COUNTIFS(Events!$A:$A,"&gt;="&amp;DATE($A14,1,1),Events!$A:$A,"&lt;"&amp;DATE($A14+1,1,1),Events!$D:$D,1)</f>
        <v>0</v>
      </c>
      <c r="E14" s="12">
        <f>COUNTIFS(Events!$A:$A,"&gt;="&amp;DATE($A14,1,1),Events!$A:$A,"&lt;"&amp;DATE($A14+1,1,1),Events!$E:$E,1)</f>
        <v>0</v>
      </c>
      <c r="F14" s="12">
        <f>COUNTIFS(Events!$A:$A,"&gt;="&amp;DATE($A14,1,1),Events!$A:$A,"&lt;"&amp;DATE($A14+1,1,1),Events!$F:$F,1)</f>
        <v>0</v>
      </c>
      <c r="G14" s="12">
        <f>COUNTIFS(Events!$A:$A,"&gt;="&amp;DATE($A14,1,1),Events!$A:$A,"&lt;"&amp;DATE($A14+1,1,1),Events!$C:$C,1,Events!$D:$D,1)</f>
        <v>0</v>
      </c>
      <c r="H14" s="12">
        <f>COUNTIFS(Events!$A:$A,"&gt;="&amp;DATE($A14,1,1),Events!$A:$A,"&lt;"&amp;DATE($A14+1,1,1),Events!$C:$C,1,Events!$E:$E,1)</f>
        <v>0</v>
      </c>
      <c r="I14" s="12">
        <f>COUNTIFS(Events!$A:$A,"&gt;="&amp;DATE($A14,1,1),Events!$A:$A,"&lt;"&amp;DATE($A14+1,1,1),Events!$C:$C,1,Events!$F:$F,1)</f>
        <v>0</v>
      </c>
      <c r="J14" s="12">
        <f>COUNTIFS(Events!$A:$A,"&gt;="&amp;DATE($A14,1,1),Events!$A:$A,"&lt;"&amp;DATE($A14+1,1,1),Events!$D:$D,1,Events!$E:$E,1)</f>
        <v>0</v>
      </c>
      <c r="K14" s="12">
        <f>COUNTIFS(Events!$A:$A,"&gt;="&amp;DATE($A14,1,1),Events!$A:$A,"&lt;"&amp;DATE($A14+1,1,1),Events!$D:$D,1,Events!$F:$F,1)</f>
        <v>0</v>
      </c>
      <c r="L14" s="12">
        <f>COUNTIFS(Events!$A:$A,"&gt;="&amp;DATE($A14,1,1),Events!$A:$A,"&lt;"&amp;DATE($A14+1,1,1),Events!$E:$E,1,Events!$F:$F,1)</f>
        <v>0</v>
      </c>
      <c r="M14" s="4" t="s">
        <v>574</v>
      </c>
    </row>
    <row r="15" spans="1:13" ht="34" customHeight="1" x14ac:dyDescent="0.2">
      <c r="A15" s="17">
        <v>2023</v>
      </c>
      <c r="B15" s="12">
        <f>COUNTIFS(Events!$A:$A,"&gt;="&amp;DATE($A15,1,1),Events!$A:$A,"&lt;"&amp;DATE($A15+1,1,1))</f>
        <v>2</v>
      </c>
      <c r="C15" s="12">
        <f>COUNTIFS(Events!$A:$A,"&gt;="&amp;DATE($A15,1,1),Events!$A:$A,"&lt;"&amp;DATE($A15+1,1,1),Events!$C:$C,1)</f>
        <v>2</v>
      </c>
      <c r="D15" s="12">
        <f>COUNTIFS(Events!$A:$A,"&gt;="&amp;DATE($A15,1,1),Events!$A:$A,"&lt;"&amp;DATE($A15+1,1,1),Events!$D:$D,1)</f>
        <v>0</v>
      </c>
      <c r="E15" s="12">
        <f>COUNTIFS(Events!$A:$A,"&gt;="&amp;DATE($A15,1,1),Events!$A:$A,"&lt;"&amp;DATE($A15+1,1,1),Events!$E:$E,1)</f>
        <v>0</v>
      </c>
      <c r="F15" s="12">
        <f>COUNTIFS(Events!$A:$A,"&gt;="&amp;DATE($A15,1,1),Events!$A:$A,"&lt;"&amp;DATE($A15+1,1,1),Events!$F:$F,1)</f>
        <v>0</v>
      </c>
      <c r="G15" s="12">
        <f>COUNTIFS(Events!$A:$A,"&gt;="&amp;DATE($A15,1,1),Events!$A:$A,"&lt;"&amp;DATE($A15+1,1,1),Events!$C:$C,1,Events!$D:$D,1)</f>
        <v>0</v>
      </c>
      <c r="H15" s="12">
        <f>COUNTIFS(Events!$A:$A,"&gt;="&amp;DATE($A15,1,1),Events!$A:$A,"&lt;"&amp;DATE($A15+1,1,1),Events!$C:$C,1,Events!$E:$E,1)</f>
        <v>0</v>
      </c>
      <c r="I15" s="12">
        <f>COUNTIFS(Events!$A:$A,"&gt;="&amp;DATE($A15,1,1),Events!$A:$A,"&lt;"&amp;DATE($A15+1,1,1),Events!$C:$C,1,Events!$F:$F,1)</f>
        <v>0</v>
      </c>
      <c r="J15" s="12">
        <f>COUNTIFS(Events!$A:$A,"&gt;="&amp;DATE($A15,1,1),Events!$A:$A,"&lt;"&amp;DATE($A15+1,1,1),Events!$D:$D,1,Events!$E:$E,1)</f>
        <v>0</v>
      </c>
      <c r="K15" s="12">
        <f>COUNTIFS(Events!$A:$A,"&gt;="&amp;DATE($A15,1,1),Events!$A:$A,"&lt;"&amp;DATE($A15+1,1,1),Events!$D:$D,1,Events!$F:$F,1)</f>
        <v>0</v>
      </c>
      <c r="L15" s="12">
        <f>COUNTIFS(Events!$A:$A,"&gt;="&amp;DATE($A15,1,1),Events!$A:$A,"&lt;"&amp;DATE($A15+1,1,1),Events!$E:$E,1,Events!$F:$F,1)</f>
        <v>0</v>
      </c>
      <c r="M15" s="4" t="s">
        <v>575</v>
      </c>
    </row>
    <row r="16" spans="1:13" ht="34" customHeight="1" x14ac:dyDescent="0.2">
      <c r="A16" s="17">
        <v>2024</v>
      </c>
      <c r="B16" s="12">
        <f>COUNTIFS(Events!$A:$A,"&gt;="&amp;DATE($A16,1,1),Events!$A:$A,"&lt;"&amp;DATE($A16+1,1,1))</f>
        <v>0</v>
      </c>
      <c r="C16" s="12">
        <f>COUNTIFS(Events!$A:$A,"&gt;="&amp;DATE($A16,1,1),Events!$A:$A,"&lt;"&amp;DATE($A16+1,1,1),Events!$C:$C,1)</f>
        <v>0</v>
      </c>
      <c r="D16" s="12">
        <f>COUNTIFS(Events!$A:$A,"&gt;="&amp;DATE($A16,1,1),Events!$A:$A,"&lt;"&amp;DATE($A16+1,1,1),Events!$D:$D,1)</f>
        <v>0</v>
      </c>
      <c r="E16" s="12">
        <f>COUNTIFS(Events!$A:$A,"&gt;="&amp;DATE($A16,1,1),Events!$A:$A,"&lt;"&amp;DATE($A16+1,1,1),Events!$E:$E,1)</f>
        <v>0</v>
      </c>
      <c r="F16" s="12">
        <f>COUNTIFS(Events!$A:$A,"&gt;="&amp;DATE($A16,1,1),Events!$A:$A,"&lt;"&amp;DATE($A16+1,1,1),Events!$F:$F,1)</f>
        <v>0</v>
      </c>
      <c r="G16" s="12">
        <f>COUNTIFS(Events!$A:$A,"&gt;="&amp;DATE($A16,1,1),Events!$A:$A,"&lt;"&amp;DATE($A16+1,1,1),Events!$C:$C,1,Events!$D:$D,1)</f>
        <v>0</v>
      </c>
      <c r="H16" s="12">
        <f>COUNTIFS(Events!$A:$A,"&gt;="&amp;DATE($A16,1,1),Events!$A:$A,"&lt;"&amp;DATE($A16+1,1,1),Events!$C:$C,1,Events!$E:$E,1)</f>
        <v>0</v>
      </c>
      <c r="I16" s="12">
        <f>COUNTIFS(Events!$A:$A,"&gt;="&amp;DATE($A16,1,1),Events!$A:$A,"&lt;"&amp;DATE($A16+1,1,1),Events!$C:$C,1,Events!$F:$F,1)</f>
        <v>0</v>
      </c>
      <c r="J16" s="12">
        <f>COUNTIFS(Events!$A:$A,"&gt;="&amp;DATE($A16,1,1),Events!$A:$A,"&lt;"&amp;DATE($A16+1,1,1),Events!$D:$D,1,Events!$E:$E,1)</f>
        <v>0</v>
      </c>
      <c r="K16" s="12">
        <f>COUNTIFS(Events!$A:$A,"&gt;="&amp;DATE($A16,1,1),Events!$A:$A,"&lt;"&amp;DATE($A16+1,1,1),Events!$D:$D,1,Events!$F:$F,1)</f>
        <v>0</v>
      </c>
      <c r="L16" s="12">
        <f>COUNTIFS(Events!$A:$A,"&gt;="&amp;DATE($A16,1,1),Events!$A:$A,"&lt;"&amp;DATE($A16+1,1,1),Events!$E:$E,1,Events!$F:$F,1)</f>
        <v>0</v>
      </c>
      <c r="M16" s="4" t="s">
        <v>574</v>
      </c>
    </row>
    <row r="17" spans="1:13" ht="34" customHeight="1" x14ac:dyDescent="0.2">
      <c r="A17" s="17">
        <v>2025</v>
      </c>
      <c r="B17" s="12">
        <f>COUNTIFS(Events!$A:$A,"&gt;="&amp;DATE($A17,1,1),Events!$A:$A,"&lt;"&amp;DATE($A17+1,1,1))</f>
        <v>26</v>
      </c>
      <c r="C17" s="12">
        <f>COUNTIFS(Events!$A:$A,"&gt;="&amp;DATE($A17,1,1),Events!$A:$A,"&lt;"&amp;DATE($A17+1,1,1),Events!$C:$C,1)</f>
        <v>15</v>
      </c>
      <c r="D17" s="12">
        <f>COUNTIFS(Events!$A:$A,"&gt;="&amp;DATE($A17,1,1),Events!$A:$A,"&lt;"&amp;DATE($A17+1,1,1),Events!$D:$D,1)</f>
        <v>6</v>
      </c>
      <c r="E17" s="12">
        <f>COUNTIFS(Events!$A:$A,"&gt;="&amp;DATE($A17,1,1),Events!$A:$A,"&lt;"&amp;DATE($A17+1,1,1),Events!$E:$E,1)</f>
        <v>6</v>
      </c>
      <c r="F17" s="12">
        <f>COUNTIFS(Events!$A:$A,"&gt;="&amp;DATE($A17,1,1),Events!$A:$A,"&lt;"&amp;DATE($A17+1,1,1),Events!$F:$F,1)</f>
        <v>1</v>
      </c>
      <c r="G17" s="12">
        <f>COUNTIFS(Events!$A:$A,"&gt;="&amp;DATE($A17,1,1),Events!$A:$A,"&lt;"&amp;DATE($A17+1,1,1),Events!$C:$C,1,Events!$D:$D,1)</f>
        <v>2</v>
      </c>
      <c r="H17" s="12">
        <f>COUNTIFS(Events!$A:$A,"&gt;="&amp;DATE($A17,1,1),Events!$A:$A,"&lt;"&amp;DATE($A17+1,1,1),Events!$C:$C,1,Events!$E:$E,1)</f>
        <v>0</v>
      </c>
      <c r="I17" s="12">
        <f>COUNTIFS(Events!$A:$A,"&gt;="&amp;DATE($A17,1,1),Events!$A:$A,"&lt;"&amp;DATE($A17+1,1,1),Events!$C:$C,1,Events!$F:$F,1)</f>
        <v>0</v>
      </c>
      <c r="J17" s="12">
        <f>COUNTIFS(Events!$A:$A,"&gt;="&amp;DATE($A17,1,1),Events!$A:$A,"&lt;"&amp;DATE($A17+1,1,1),Events!$D:$D,1,Events!$E:$E,1)</f>
        <v>0</v>
      </c>
      <c r="K17" s="12">
        <f>COUNTIFS(Events!$A:$A,"&gt;="&amp;DATE($A17,1,1),Events!$A:$A,"&lt;"&amp;DATE($A17+1,1,1),Events!$D:$D,1,Events!$F:$F,1)</f>
        <v>0</v>
      </c>
      <c r="L17" s="12">
        <f>COUNTIFS(Events!$A:$A,"&gt;="&amp;DATE($A17,1,1),Events!$A:$A,"&lt;"&amp;DATE($A17+1,1,1),Events!$E:$E,1,Events!$F:$F,1)</f>
        <v>0</v>
      </c>
      <c r="M17" s="4" t="s">
        <v>576</v>
      </c>
    </row>
    <row r="18" spans="1:13" ht="34" customHeight="1" x14ac:dyDescent="0.2">
      <c r="A18" s="17">
        <v>2026</v>
      </c>
      <c r="B18" s="12">
        <f>COUNTIFS(Events!$A:$A,"&gt;="&amp;DATE($A18,1,1),Events!$A:$A,"&lt;"&amp;DATE($A18+1,1,1))</f>
        <v>4</v>
      </c>
      <c r="C18" s="12">
        <f>COUNTIFS(Events!$A:$A,"&gt;="&amp;DATE($A18,1,1),Events!$A:$A,"&lt;"&amp;DATE($A18+1,1,1),Events!$C:$C,1)</f>
        <v>2</v>
      </c>
      <c r="D18" s="12">
        <f>COUNTIFS(Events!$A:$A,"&gt;="&amp;DATE($A18,1,1),Events!$A:$A,"&lt;"&amp;DATE($A18+1,1,1),Events!$D:$D,1)</f>
        <v>2</v>
      </c>
      <c r="E18" s="12">
        <f>COUNTIFS(Events!$A:$A,"&gt;="&amp;DATE($A18,1,1),Events!$A:$A,"&lt;"&amp;DATE($A18+1,1,1),Events!$E:$E,1)</f>
        <v>0</v>
      </c>
      <c r="F18" s="12">
        <f>COUNTIFS(Events!$A:$A,"&gt;="&amp;DATE($A18,1,1),Events!$A:$A,"&lt;"&amp;DATE($A18+1,1,1),Events!$F:$F,1)</f>
        <v>1</v>
      </c>
      <c r="G18" s="12">
        <f>COUNTIFS(Events!$A:$A,"&gt;="&amp;DATE($A18,1,1),Events!$A:$A,"&lt;"&amp;DATE($A18+1,1,1),Events!$C:$C,1,Events!$D:$D,1)</f>
        <v>1</v>
      </c>
      <c r="H18" s="12">
        <f>COUNTIFS(Events!$A:$A,"&gt;="&amp;DATE($A18,1,1),Events!$A:$A,"&lt;"&amp;DATE($A18+1,1,1),Events!$C:$C,1,Events!$E:$E,1)</f>
        <v>0</v>
      </c>
      <c r="I18" s="12">
        <f>COUNTIFS(Events!$A:$A,"&gt;="&amp;DATE($A18,1,1),Events!$A:$A,"&lt;"&amp;DATE($A18+1,1,1),Events!$C:$C,1,Events!$F:$F,1)</f>
        <v>0</v>
      </c>
      <c r="J18" s="12">
        <f>COUNTIFS(Events!$A:$A,"&gt;="&amp;DATE($A18,1,1),Events!$A:$A,"&lt;"&amp;DATE($A18+1,1,1),Events!$D:$D,1,Events!$E:$E,1)</f>
        <v>0</v>
      </c>
      <c r="K18" s="12">
        <f>COUNTIFS(Events!$A:$A,"&gt;="&amp;DATE($A18,1,1),Events!$A:$A,"&lt;"&amp;DATE($A18+1,1,1),Events!$D:$D,1,Events!$F:$F,1)</f>
        <v>0</v>
      </c>
      <c r="L18" s="12">
        <f>COUNTIFS(Events!$A:$A,"&gt;="&amp;DATE($A18,1,1),Events!$A:$A,"&lt;"&amp;DATE($A18+1,1,1),Events!$E:$E,1,Events!$F:$F,1)</f>
        <v>0</v>
      </c>
      <c r="M18" s="4" t="s">
        <v>577</v>
      </c>
    </row>
  </sheetData>
  <autoFilter ref="A1:M18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</vt:lpstr>
      <vt:lpstr>Summary</vt:lpstr>
      <vt:lpstr>Coding Notes</vt:lpstr>
      <vt:lpstr>Monthly Timeline</vt:lpstr>
      <vt:lpstr>Annual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 Quah</cp:lastModifiedBy>
  <dcterms:created xsi:type="dcterms:W3CDTF">2026-10-04T08:58:41Z</dcterms:created>
  <dcterms:modified xsi:type="dcterms:W3CDTF">2026-10-05T03:19:58Z</dcterms:modified>
</cp:coreProperties>
</file>